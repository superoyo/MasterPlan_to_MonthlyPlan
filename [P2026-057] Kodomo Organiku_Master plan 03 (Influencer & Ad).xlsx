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amelineagency.sharepoint.com/sites/BiddableTeam/Shared Documents/- Master Plan -/Kodomo/2026/"/>
    </mc:Choice>
  </mc:AlternateContent>
  <xr:revisionPtr revIDLastSave="0" documentId="8_{FD75FD47-2453-45EA-8C2B-48C7ED7043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S (Media &amp; Influ)" sheetId="44" r:id="rId1"/>
    <sheet name="Link YouTube" sheetId="30" state="hidden" r:id="rId2"/>
    <sheet name="ใช้ Scenario 1_ 6s (basic)" sheetId="41" state="hidden" r:id="rId3"/>
    <sheet name="ใช้ Scenario 1_ 6s (reach-bid)" sheetId="43" state="hidden" r:id="rId4"/>
    <sheet name="ใช้ Scenario 2_ 6s (reach-bid)" sheetId="42" state="hidden" r:id="rId5"/>
    <sheet name="Scenario 1_ 6s (basic)" sheetId="38" state="hidden" r:id="rId6"/>
    <sheet name="Scenario 2_ 15 6s kv(เท่าเดิม)" sheetId="36" state="hidden" r:id="rId7"/>
    <sheet name="Scenario 2_ 15 6s kv imp" sheetId="39" state="hidden" r:id="rId8"/>
    <sheet name="Bid (Take note)" sheetId="45" r:id="rId9"/>
  </sheets>
  <definedNames>
    <definedName name="AddOn">#REF!</definedName>
    <definedName name="Advertorial">#REF!</definedName>
    <definedName name="BuyOut">#REF!</definedName>
    <definedName name="Channel">#REF!</definedName>
    <definedName name="Index">#REF!</definedName>
    <definedName name="Media">#REF!</definedName>
    <definedName name="Photo">#REF!</definedName>
    <definedName name="SOW">#REF!</definedName>
    <definedName name="ToolsList">#REF!</definedName>
    <definedName name="Upload">#REF!</definedName>
    <definedName name="Vide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44" l="1"/>
  <c r="M50" i="44"/>
  <c r="M51" i="44"/>
  <c r="K52" i="44"/>
  <c r="M52" i="44"/>
  <c r="N52" i="44"/>
  <c r="N51" i="44"/>
  <c r="N50" i="44"/>
  <c r="M23" i="45"/>
  <c r="M22" i="45"/>
  <c r="M19" i="44"/>
  <c r="L55" i="45"/>
  <c r="K55" i="45"/>
  <c r="J55" i="45"/>
  <c r="L53" i="45"/>
  <c r="K53" i="45"/>
  <c r="J53" i="45"/>
  <c r="L50" i="45"/>
  <c r="K50" i="45"/>
  <c r="J50" i="45"/>
  <c r="M49" i="45"/>
  <c r="M48" i="45"/>
  <c r="M47" i="45"/>
  <c r="M46" i="45"/>
  <c r="M45" i="45"/>
  <c r="M44" i="45"/>
  <c r="M43" i="45"/>
  <c r="M42" i="45"/>
  <c r="M41" i="45"/>
  <c r="M40" i="45"/>
  <c r="M39" i="45"/>
  <c r="M38" i="45"/>
  <c r="M37" i="45"/>
  <c r="M36" i="45"/>
  <c r="M35" i="45"/>
  <c r="M34" i="45"/>
  <c r="M33" i="45"/>
  <c r="M32" i="45"/>
  <c r="M30" i="45"/>
  <c r="E30" i="45"/>
  <c r="M29" i="45"/>
  <c r="E29" i="45"/>
  <c r="M28" i="45"/>
  <c r="E28" i="45"/>
  <c r="M27" i="45"/>
  <c r="E27" i="45"/>
  <c r="M26" i="45"/>
  <c r="E26" i="45"/>
  <c r="M25" i="45"/>
  <c r="E25" i="45"/>
  <c r="E23" i="45"/>
  <c r="E22" i="45"/>
  <c r="M21" i="45"/>
  <c r="E21" i="45"/>
  <c r="M20" i="45"/>
  <c r="E20" i="45"/>
  <c r="M19" i="45"/>
  <c r="E19" i="45"/>
  <c r="M18" i="45"/>
  <c r="E18" i="45"/>
  <c r="M16" i="45"/>
  <c r="E16" i="45"/>
  <c r="M15" i="45"/>
  <c r="E15" i="45"/>
  <c r="M13" i="45"/>
  <c r="E13" i="45"/>
  <c r="M12" i="45"/>
  <c r="E12" i="45"/>
  <c r="M11" i="45"/>
  <c r="E11" i="45"/>
  <c r="M10" i="45"/>
  <c r="E10" i="45"/>
  <c r="M9" i="45"/>
  <c r="E9" i="45"/>
  <c r="M8" i="45"/>
  <c r="N50" i="45" s="1"/>
  <c r="E8" i="45"/>
  <c r="L50" i="44"/>
  <c r="K50" i="44"/>
  <c r="J50" i="44"/>
  <c r="M23" i="44"/>
  <c r="M22" i="44"/>
  <c r="M21" i="44"/>
  <c r="M20" i="44"/>
  <c r="M18" i="44"/>
  <c r="E20" i="44"/>
  <c r="L55" i="44"/>
  <c r="L53" i="44"/>
  <c r="M30" i="44"/>
  <c r="E30" i="44" s="1"/>
  <c r="M29" i="44"/>
  <c r="M28" i="44"/>
  <c r="M27" i="44"/>
  <c r="M26" i="44"/>
  <c r="E26" i="44"/>
  <c r="E27" i="44"/>
  <c r="E23" i="44"/>
  <c r="E19" i="44"/>
  <c r="E18" i="44"/>
  <c r="E29" i="44"/>
  <c r="E28" i="44"/>
  <c r="M25" i="44"/>
  <c r="E25" i="44" s="1"/>
  <c r="E22" i="44"/>
  <c r="E21" i="44"/>
  <c r="J55" i="44"/>
  <c r="K51" i="44"/>
  <c r="K57" i="44" s="1"/>
  <c r="J51" i="44"/>
  <c r="M13" i="44"/>
  <c r="E13" i="44" s="1"/>
  <c r="M12" i="44"/>
  <c r="E12" i="44" s="1"/>
  <c r="M11" i="44"/>
  <c r="E11" i="44" s="1"/>
  <c r="M10" i="44"/>
  <c r="E10" i="44" s="1"/>
  <c r="M9" i="44"/>
  <c r="E9" i="44" s="1"/>
  <c r="M8" i="44"/>
  <c r="M16" i="44"/>
  <c r="M15" i="44"/>
  <c r="E15" i="44"/>
  <c r="E16" i="44"/>
  <c r="J53" i="44"/>
  <c r="M33" i="44"/>
  <c r="M32" i="44"/>
  <c r="K55" i="44"/>
  <c r="K53" i="44"/>
  <c r="M49" i="44"/>
  <c r="M48" i="44"/>
  <c r="M47" i="44"/>
  <c r="M46" i="44"/>
  <c r="M45" i="44"/>
  <c r="M44" i="44"/>
  <c r="M43" i="44"/>
  <c r="M42" i="44"/>
  <c r="M41" i="44"/>
  <c r="M40" i="44"/>
  <c r="M38" i="44"/>
  <c r="K54" i="44"/>
  <c r="M39" i="44"/>
  <c r="M37" i="44"/>
  <c r="M36" i="44"/>
  <c r="M35" i="44"/>
  <c r="M34" i="44"/>
  <c r="K11" i="41"/>
  <c r="K8" i="41"/>
  <c r="I27" i="41"/>
  <c r="J27" i="41"/>
  <c r="I25" i="41"/>
  <c r="J25" i="41"/>
  <c r="J25" i="43"/>
  <c r="I22" i="43"/>
  <c r="J22" i="43"/>
  <c r="L22" i="43"/>
  <c r="I24" i="43"/>
  <c r="J24" i="43"/>
  <c r="K24" i="43"/>
  <c r="J27" i="42"/>
  <c r="I27" i="42"/>
  <c r="I22" i="42"/>
  <c r="K30" i="43"/>
  <c r="K31" i="43" a="1"/>
  <c r="K31" i="43"/>
  <c r="K29" i="43"/>
  <c r="K22" i="41"/>
  <c r="J22" i="41"/>
  <c r="I22" i="41"/>
  <c r="J24" i="41"/>
  <c r="I24" i="41"/>
  <c r="K25" i="43"/>
  <c r="S8" i="43"/>
  <c r="T8" i="43"/>
  <c r="S14" i="43"/>
  <c r="T14" i="43"/>
  <c r="E14" i="42"/>
  <c r="K14" i="42"/>
  <c r="S15" i="42"/>
  <c r="S14" i="42"/>
  <c r="T14" i="42"/>
  <c r="T9" i="42"/>
  <c r="S9" i="42"/>
  <c r="T8" i="42"/>
  <c r="S8" i="42"/>
  <c r="K8" i="43"/>
  <c r="T15" i="42"/>
  <c r="J26" i="43"/>
  <c r="I26" i="43"/>
  <c r="K26" i="43" s="1"/>
  <c r="J23" i="43"/>
  <c r="I23" i="43"/>
  <c r="K21" i="43"/>
  <c r="K20" i="43"/>
  <c r="K19" i="43"/>
  <c r="K18" i="43"/>
  <c r="K17" i="43"/>
  <c r="K16" i="43"/>
  <c r="K23" i="43" s="1"/>
  <c r="K14" i="43"/>
  <c r="F14" i="43"/>
  <c r="E14" i="43"/>
  <c r="K13" i="43"/>
  <c r="K12" i="43"/>
  <c r="K11" i="43"/>
  <c r="G11" i="43"/>
  <c r="F11" i="43"/>
  <c r="E11" i="43"/>
  <c r="K10" i="43"/>
  <c r="K9" i="43"/>
  <c r="K22" i="43"/>
  <c r="G8" i="43"/>
  <c r="E8" i="43" s="1"/>
  <c r="F8" i="43"/>
  <c r="L7" i="43"/>
  <c r="G8" i="41"/>
  <c r="F8" i="41"/>
  <c r="K31" i="42" a="1"/>
  <c r="K31" i="42" s="1"/>
  <c r="K29" i="42"/>
  <c r="J26" i="42"/>
  <c r="I26" i="42"/>
  <c r="K26" i="42" s="1"/>
  <c r="J23" i="42"/>
  <c r="I23" i="42"/>
  <c r="J22" i="42"/>
  <c r="J24" i="42" s="1"/>
  <c r="K21" i="42"/>
  <c r="K20" i="42"/>
  <c r="K19" i="42"/>
  <c r="K18" i="42"/>
  <c r="K17" i="42"/>
  <c r="K16" i="42"/>
  <c r="K23" i="42" s="1"/>
  <c r="F14" i="42"/>
  <c r="K13" i="42"/>
  <c r="K12" i="42"/>
  <c r="K11" i="42"/>
  <c r="G11" i="42"/>
  <c r="F11" i="42"/>
  <c r="E11" i="42"/>
  <c r="K10" i="42"/>
  <c r="K9" i="42"/>
  <c r="K8" i="42"/>
  <c r="K22" i="42" s="1"/>
  <c r="G8" i="42"/>
  <c r="F8" i="42"/>
  <c r="E8" i="42"/>
  <c r="L7" i="42"/>
  <c r="K31" i="41" a="1"/>
  <c r="K31" i="41" s="1"/>
  <c r="K29" i="41"/>
  <c r="J26" i="41"/>
  <c r="I26" i="41"/>
  <c r="K26" i="41" s="1"/>
  <c r="J23" i="41"/>
  <c r="I23" i="41"/>
  <c r="K21" i="41"/>
  <c r="K20" i="41"/>
  <c r="K19" i="41"/>
  <c r="K18" i="41"/>
  <c r="K17" i="41"/>
  <c r="K16" i="41"/>
  <c r="K23" i="41" s="1"/>
  <c r="K14" i="41"/>
  <c r="G14" i="41"/>
  <c r="F14" i="41"/>
  <c r="E14" i="41"/>
  <c r="K13" i="41"/>
  <c r="K12" i="41"/>
  <c r="G11" i="41"/>
  <c r="F11" i="41"/>
  <c r="E11" i="41"/>
  <c r="K10" i="41"/>
  <c r="K9" i="41"/>
  <c r="E8" i="41"/>
  <c r="F15" i="39"/>
  <c r="F14" i="38"/>
  <c r="G15" i="39"/>
  <c r="K15" i="39"/>
  <c r="K32" i="39" a="1"/>
  <c r="K32" i="39" s="1"/>
  <c r="K30" i="39"/>
  <c r="J27" i="39"/>
  <c r="I27" i="39"/>
  <c r="K27" i="39" s="1"/>
  <c r="J24" i="39"/>
  <c r="I24" i="39"/>
  <c r="J23" i="39"/>
  <c r="J25" i="39" s="1"/>
  <c r="I23" i="39"/>
  <c r="K22" i="39"/>
  <c r="K21" i="39"/>
  <c r="K20" i="39"/>
  <c r="K19" i="39"/>
  <c r="K18" i="39"/>
  <c r="K17" i="39"/>
  <c r="K24" i="39" s="1"/>
  <c r="E15" i="39"/>
  <c r="P15" i="39" s="1"/>
  <c r="K14" i="39"/>
  <c r="K13" i="39"/>
  <c r="K12" i="39"/>
  <c r="G12" i="39"/>
  <c r="F12" i="39"/>
  <c r="E12" i="39"/>
  <c r="P12" i="39" s="1"/>
  <c r="K11" i="39"/>
  <c r="K10" i="39"/>
  <c r="K9" i="39"/>
  <c r="G9" i="39"/>
  <c r="F9" i="39"/>
  <c r="E9" i="39"/>
  <c r="P9" i="39" s="1"/>
  <c r="K8" i="39" a="1"/>
  <c r="K8" i="39" s="1"/>
  <c r="K23" i="39" s="1"/>
  <c r="G8" i="39"/>
  <c r="F8" i="39"/>
  <c r="E8" i="39"/>
  <c r="P8" i="39" s="1"/>
  <c r="L7" i="39"/>
  <c r="K15" i="36"/>
  <c r="K12" i="36"/>
  <c r="F9" i="36"/>
  <c r="G9" i="36"/>
  <c r="K31" i="38" a="1"/>
  <c r="K31" i="38" s="1"/>
  <c r="K29" i="38"/>
  <c r="J26" i="38"/>
  <c r="I26" i="38"/>
  <c r="K26" i="38" s="1"/>
  <c r="J23" i="38"/>
  <c r="I23" i="38"/>
  <c r="J22" i="38"/>
  <c r="J24" i="38" s="1"/>
  <c r="I22" i="38"/>
  <c r="K21" i="38"/>
  <c r="K20" i="38"/>
  <c r="K19" i="38"/>
  <c r="K18" i="38"/>
  <c r="K17" i="38"/>
  <c r="K16" i="38"/>
  <c r="K23" i="38" s="1"/>
  <c r="K14" i="38"/>
  <c r="G14" i="38"/>
  <c r="E14" i="38"/>
  <c r="K13" i="38"/>
  <c r="K12" i="38"/>
  <c r="K11" i="38"/>
  <c r="G11" i="38"/>
  <c r="F11" i="38"/>
  <c r="E11" i="38"/>
  <c r="K10" i="38"/>
  <c r="K9" i="38"/>
  <c r="K8" i="38"/>
  <c r="K22" i="38" s="1"/>
  <c r="G8" i="38"/>
  <c r="F8" i="38"/>
  <c r="E8" i="38"/>
  <c r="L7" i="38"/>
  <c r="K32" i="36" a="1"/>
  <c r="K32" i="36" s="1"/>
  <c r="K30" i="36"/>
  <c r="J27" i="36"/>
  <c r="I27" i="36"/>
  <c r="K27" i="36" s="1"/>
  <c r="J24" i="36"/>
  <c r="I24" i="36"/>
  <c r="J23" i="36"/>
  <c r="J25" i="36" s="1"/>
  <c r="I23" i="36"/>
  <c r="K22" i="36"/>
  <c r="K21" i="36"/>
  <c r="K20" i="36"/>
  <c r="K19" i="36"/>
  <c r="K18" i="36"/>
  <c r="K17" i="36"/>
  <c r="K24" i="36" s="1"/>
  <c r="G15" i="36"/>
  <c r="E15" i="36" s="1"/>
  <c r="R15" i="36" s="1"/>
  <c r="F15" i="36"/>
  <c r="Q15" i="36"/>
  <c r="K14" i="36"/>
  <c r="K13" i="36"/>
  <c r="G12" i="36"/>
  <c r="F12" i="36"/>
  <c r="E12" i="36"/>
  <c r="K11" i="36"/>
  <c r="K10" i="36"/>
  <c r="K9" i="36"/>
  <c r="K8" i="36" a="1"/>
  <c r="K8" i="36" s="1"/>
  <c r="K23" i="36" s="1"/>
  <c r="G8" i="36"/>
  <c r="F8" i="36"/>
  <c r="E8" i="36"/>
  <c r="L7" i="36"/>
  <c r="N51" i="45" l="1"/>
  <c r="N52" i="45" s="1"/>
  <c r="M55" i="45"/>
  <c r="M53" i="45"/>
  <c r="J51" i="45"/>
  <c r="M50" i="45"/>
  <c r="K51" i="45"/>
  <c r="K52" i="45" s="1"/>
  <c r="L51" i="45"/>
  <c r="L52" i="45" s="1"/>
  <c r="J54" i="45"/>
  <c r="K54" i="45"/>
  <c r="K56" i="45" s="1"/>
  <c r="L54" i="45"/>
  <c r="L56" i="45" s="1"/>
  <c r="M55" i="44"/>
  <c r="M53" i="44"/>
  <c r="L51" i="44"/>
  <c r="L54" i="44"/>
  <c r="L56" i="44" s="1"/>
  <c r="J52" i="44"/>
  <c r="K56" i="44"/>
  <c r="J54" i="44"/>
  <c r="M54" i="44" s="1"/>
  <c r="J56" i="44"/>
  <c r="E8" i="44"/>
  <c r="R8" i="36"/>
  <c r="Q8" i="36"/>
  <c r="Q12" i="36"/>
  <c r="R12" i="36"/>
  <c r="R8" i="38"/>
  <c r="Q8" i="38"/>
  <c r="R11" i="38"/>
  <c r="Q11" i="38"/>
  <c r="R14" i="38"/>
  <c r="Q14" i="38"/>
  <c r="Q11" i="42"/>
  <c r="R11" i="42"/>
  <c r="R11" i="43"/>
  <c r="Q11" i="43"/>
  <c r="K34" i="43"/>
  <c r="L13" i="43"/>
  <c r="L10" i="43"/>
  <c r="J27" i="43"/>
  <c r="K32" i="43"/>
  <c r="K34" i="42"/>
  <c r="K24" i="42"/>
  <c r="L13" i="42"/>
  <c r="L10" i="42"/>
  <c r="I24" i="42"/>
  <c r="L22" i="42"/>
  <c r="J25" i="42"/>
  <c r="K30" i="42"/>
  <c r="K32" i="42" s="1"/>
  <c r="R8" i="41"/>
  <c r="Q8" i="41"/>
  <c r="K34" i="41"/>
  <c r="L13" i="41"/>
  <c r="L10" i="41"/>
  <c r="R11" i="41"/>
  <c r="Q11" i="41"/>
  <c r="R14" i="41"/>
  <c r="Q14" i="41"/>
  <c r="L22" i="41"/>
  <c r="K30" i="41"/>
  <c r="K32" i="41" s="1"/>
  <c r="T15" i="36"/>
  <c r="S15" i="36"/>
  <c r="R8" i="39"/>
  <c r="Q8" i="39"/>
  <c r="K35" i="39"/>
  <c r="K25" i="39"/>
  <c r="L14" i="39"/>
  <c r="L11" i="39"/>
  <c r="R9" i="39"/>
  <c r="Q9" i="39"/>
  <c r="R15" i="39"/>
  <c r="Q15" i="39"/>
  <c r="I25" i="39"/>
  <c r="L23" i="39"/>
  <c r="J26" i="39"/>
  <c r="J28" i="39" s="1"/>
  <c r="K31" i="39"/>
  <c r="K33" i="39" s="1"/>
  <c r="K34" i="38"/>
  <c r="K24" i="38"/>
  <c r="L13" i="38"/>
  <c r="L10" i="38"/>
  <c r="T14" i="38"/>
  <c r="S14" i="38"/>
  <c r="I24" i="38"/>
  <c r="L22" i="38"/>
  <c r="J25" i="38"/>
  <c r="J27" i="38" s="1"/>
  <c r="K30" i="38"/>
  <c r="K32" i="38" s="1"/>
  <c r="T8" i="36"/>
  <c r="S8" i="36"/>
  <c r="K35" i="36"/>
  <c r="K25" i="36"/>
  <c r="L14" i="36"/>
  <c r="L11" i="36"/>
  <c r="I25" i="36"/>
  <c r="L23" i="36"/>
  <c r="J26" i="36"/>
  <c r="J28" i="36" s="1"/>
  <c r="K31" i="36"/>
  <c r="K33" i="36" s="1"/>
  <c r="M54" i="45" l="1"/>
  <c r="J56" i="45"/>
  <c r="L57" i="45"/>
  <c r="K57" i="45"/>
  <c r="M51" i="45"/>
  <c r="J52" i="45"/>
  <c r="M56" i="45"/>
  <c r="L52" i="44"/>
  <c r="L57" i="44" s="1"/>
  <c r="J57" i="44"/>
  <c r="N57" i="44" s="1"/>
  <c r="M57" i="44"/>
  <c r="T8" i="38"/>
  <c r="S8" i="38"/>
  <c r="I25" i="43"/>
  <c r="K27" i="43"/>
  <c r="I25" i="42"/>
  <c r="K25" i="42"/>
  <c r="K27" i="42" s="1"/>
  <c r="L7" i="41"/>
  <c r="K24" i="41"/>
  <c r="T14" i="41"/>
  <c r="S14" i="41"/>
  <c r="K25" i="41"/>
  <c r="K27" i="41" s="1"/>
  <c r="T8" i="41"/>
  <c r="S8" i="41"/>
  <c r="I26" i="39"/>
  <c r="K26" i="39"/>
  <c r="K28" i="39" s="1"/>
  <c r="I25" i="38"/>
  <c r="K25" i="38"/>
  <c r="K27" i="38" s="1"/>
  <c r="I26" i="36"/>
  <c r="K26" i="36"/>
  <c r="K28" i="36" s="1"/>
  <c r="J57" i="45" l="1"/>
  <c r="N57" i="45" s="1"/>
  <c r="M52" i="45"/>
  <c r="M57" i="45" s="1"/>
  <c r="L25" i="43"/>
  <c r="I27" i="43"/>
  <c r="L27" i="43" s="1"/>
  <c r="L25" i="42"/>
  <c r="L27" i="42"/>
  <c r="L25" i="41"/>
  <c r="L27" i="41"/>
  <c r="L26" i="39"/>
  <c r="I28" i="39"/>
  <c r="L28" i="39" s="1"/>
  <c r="L25" i="38"/>
  <c r="I27" i="38"/>
  <c r="L27" i="38" s="1"/>
  <c r="L26" i="36"/>
  <c r="I28" i="36"/>
  <c r="L28" i="36" s="1"/>
  <c r="E9" i="36" l="1"/>
  <c r="R9" i="36" l="1"/>
  <c r="Q9" i="36"/>
  <c r="S9" i="36" l="1"/>
  <c r="T9" i="3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<sst xmlns="http://schemas.openxmlformats.org/spreadsheetml/2006/main" count="750" uniqueCount="170">
  <si>
    <t>Client:</t>
  </si>
  <si>
    <t>Lion Corporation (Thailand)</t>
  </si>
  <si>
    <t>Product:</t>
  </si>
  <si>
    <t>Kodomo Product</t>
  </si>
  <si>
    <t>Project Code:</t>
  </si>
  <si>
    <t>P2026-057</t>
  </si>
  <si>
    <t>Update:</t>
  </si>
  <si>
    <t>28/4/2026</t>
  </si>
  <si>
    <t>Material</t>
  </si>
  <si>
    <t>Detail</t>
  </si>
  <si>
    <t>Main KPI</t>
  </si>
  <si>
    <t>Metric</t>
  </si>
  <si>
    <t>Cost per unit</t>
  </si>
  <si>
    <t>Period</t>
  </si>
  <si>
    <t>Apr</t>
  </si>
  <si>
    <t>May</t>
  </si>
  <si>
    <t>Jun</t>
  </si>
  <si>
    <t>Cost</t>
  </si>
  <si>
    <t>Event Part</t>
  </si>
  <si>
    <t>Teaser</t>
  </si>
  <si>
    <t>Facebook Reach</t>
  </si>
  <si>
    <r>
      <t xml:space="preserve">All Gender, </t>
    </r>
    <r>
      <rPr>
        <sz val="11"/>
        <color rgb="FF000000"/>
        <rFont val="Calibri"/>
        <scheme val="minor"/>
      </rPr>
      <t xml:space="preserve">Age 25-44 years, Thailand
</t>
    </r>
    <r>
      <rPr>
        <b/>
        <sz val="11"/>
        <color rgb="FF000000"/>
        <rFont val="Calibri"/>
        <scheme val="minor"/>
      </rPr>
      <t xml:space="preserve">Interest : </t>
    </r>
    <r>
      <rPr>
        <sz val="11"/>
        <color rgb="FF000000"/>
        <rFont val="Calibri"/>
        <scheme val="minor"/>
      </rPr>
      <t xml:space="preserve">Baby powder, Baby shower, Baby wearing, Infant clothing
</t>
    </r>
    <r>
      <rPr>
        <b/>
        <sz val="11"/>
        <color rgb="FF000000"/>
        <rFont val="Calibri"/>
        <scheme val="minor"/>
      </rPr>
      <t xml:space="preserve">Narrow down : </t>
    </r>
    <r>
      <rPr>
        <sz val="11"/>
        <color rgb="FF000000"/>
        <rFont val="Calibri"/>
        <scheme val="minor"/>
      </rPr>
      <t xml:space="preserve">Parenting, Parents (up to 12 months), Parents with toddlers (1-2 years), Parents with preschoolers (3-5 years), Kids, Children’s clothing
</t>
    </r>
    <r>
      <rPr>
        <b/>
        <sz val="11"/>
        <color rgb="FF000000"/>
        <rFont val="Calibri"/>
        <scheme val="minor"/>
      </rPr>
      <t>Est. Size : 6M</t>
    </r>
  </si>
  <si>
    <t>Reach</t>
  </si>
  <si>
    <t>CPR</t>
  </si>
  <si>
    <t>1-2 Apr</t>
  </si>
  <si>
    <t>Facebook Engagement</t>
  </si>
  <si>
    <t>Engage</t>
  </si>
  <si>
    <t>CPE</t>
  </si>
  <si>
    <t>Presenter reveal</t>
  </si>
  <si>
    <t>3-6 Apr</t>
  </si>
  <si>
    <t>Post PR (Image)</t>
  </si>
  <si>
    <t>9-15 Apr</t>
  </si>
  <si>
    <t>Manifesto Part</t>
  </si>
  <si>
    <t xml:space="preserve">
Manifesto
VDO 1 min</t>
  </si>
  <si>
    <t>Facebook VDO View</t>
  </si>
  <si>
    <r>
      <t xml:space="preserve">All Gender, </t>
    </r>
    <r>
      <rPr>
        <sz val="11"/>
        <color rgb="FF000000"/>
        <rFont val="Calibri"/>
        <scheme val="minor"/>
      </rPr>
      <t xml:space="preserve">Age 25-44 years, Thailand
</t>
    </r>
    <r>
      <rPr>
        <b/>
        <sz val="11"/>
        <color rgb="FF000000"/>
        <rFont val="Calibri"/>
        <scheme val="minor"/>
      </rPr>
      <t>Interest :</t>
    </r>
    <r>
      <rPr>
        <sz val="11"/>
        <color rgb="FF000000"/>
        <rFont val="Calibri"/>
        <scheme val="minor"/>
      </rPr>
      <t xml:space="preserve"> Baby powder, Baby shower, Baby wearing, Infant clothing
</t>
    </r>
    <r>
      <rPr>
        <b/>
        <sz val="11"/>
        <color rgb="FF000000"/>
        <rFont val="Calibri"/>
        <scheme val="minor"/>
      </rPr>
      <t>Narrow down :</t>
    </r>
    <r>
      <rPr>
        <sz val="11"/>
        <color rgb="FF000000"/>
        <rFont val="Calibri"/>
        <scheme val="minor"/>
      </rPr>
      <t xml:space="preserve"> Parenting, Parents (up to 12 months), Parents with toddlers (1-2 years), Parents with preschoolers (3-5 years), Kids, Children’s clothing
Est. Size :6M</t>
    </r>
  </si>
  <si>
    <t>Views</t>
  </si>
  <si>
    <t>CPV</t>
  </si>
  <si>
    <t>3 Apr-15 May</t>
  </si>
  <si>
    <t>YouTube Skippable</t>
  </si>
  <si>
    <r>
      <t>All Gender,</t>
    </r>
    <r>
      <rPr>
        <sz val="11"/>
        <color rgb="FF000000"/>
        <rFont val="Calibri"/>
        <scheme val="minor"/>
      </rPr>
      <t xml:space="preserve"> Age 25-44 years, Thailand </t>
    </r>
    <r>
      <rPr>
        <b/>
        <sz val="11"/>
        <color rgb="FF000000"/>
        <rFont val="Calibri"/>
        <scheme val="minor"/>
      </rPr>
      <t>Parent status</t>
    </r>
    <r>
      <rPr>
        <sz val="11"/>
        <color rgb="FF000000"/>
        <rFont val="Calibri"/>
        <scheme val="minor"/>
      </rPr>
      <t xml:space="preserve"> : Parents of infants (0-1 years), Parents of Toddlers (1-3 years), Parents of Preschoolers (4-5 years)
</t>
    </r>
    <r>
      <rPr>
        <b/>
        <sz val="11"/>
        <color rgb="FF000000"/>
        <rFont val="Calibri"/>
        <scheme val="minor"/>
      </rPr>
      <t xml:space="preserve">In-market </t>
    </r>
    <r>
      <rPr>
        <sz val="11"/>
        <color rgb="FF000000"/>
        <rFont val="Calibri"/>
        <scheme val="minor"/>
      </rPr>
      <t xml:space="preserve">: Baby &amp; Children's Products
</t>
    </r>
    <r>
      <rPr>
        <b/>
        <sz val="11"/>
        <color rgb="FF000000"/>
        <rFont val="Calibri"/>
        <scheme val="minor"/>
      </rPr>
      <t xml:space="preserve">Custom keyword </t>
    </r>
    <r>
      <rPr>
        <sz val="11"/>
        <color rgb="FF000000"/>
        <rFont val="Calibri"/>
        <scheme val="minor"/>
      </rPr>
      <t xml:space="preserve">: น้ำยาซักผ้าเด็ก, น้ำยาซักผ้าดีนี่, ดีนี่, แชมพูเด็ก, เด็กแรกเกิด
</t>
    </r>
    <r>
      <rPr>
        <b/>
        <sz val="11"/>
        <color rgb="FF000000"/>
        <rFont val="Calibri"/>
        <scheme val="minor"/>
      </rPr>
      <t>Placement</t>
    </r>
    <r>
      <rPr>
        <sz val="11"/>
        <color rgb="FF000000"/>
        <rFont val="Calibri"/>
        <scheme val="minor"/>
      </rPr>
      <t xml:space="preserve"> : potatoband, Genierock, ZuvapitSnap, theAsianparent Thailand, Little Angel Thai - เพลงกล่อมเด็ก เพลงเด็ก,KidsOnCloud, Kids Tv - เทพนิยายและนิทานเด็กในภาษาไทย, drnoithefamily, จิตวิทยาเด็กและวัยรุ่นโดยนักจิตวิทยา, PRAEW, BoomTharis, Mayy R</t>
    </r>
  </si>
  <si>
    <t xml:space="preserve">HTT </t>
  </si>
  <si>
    <t>HTT 15 sec.
(16:9)</t>
  </si>
  <si>
    <t>Facebook R&amp;F 
R 50% F 3</t>
  </si>
  <si>
    <r>
      <rPr>
        <b/>
        <sz val="11"/>
        <color rgb="FF000000"/>
        <rFont val="Calibri"/>
        <scheme val="minor"/>
      </rPr>
      <t>Female</t>
    </r>
    <r>
      <rPr>
        <sz val="11"/>
        <color rgb="FF000000"/>
        <rFont val="Calibri"/>
        <scheme val="minor"/>
      </rPr>
      <t xml:space="preserve">, Age 25-44 years, Thailand
</t>
    </r>
    <r>
      <rPr>
        <b/>
        <sz val="11"/>
        <color rgb="FF000000"/>
        <rFont val="Calibri"/>
        <scheme val="minor"/>
      </rPr>
      <t>Interest</t>
    </r>
    <r>
      <rPr>
        <sz val="11"/>
        <color rgb="FF000000"/>
        <rFont val="Calibri"/>
        <scheme val="minor"/>
      </rPr>
      <t xml:space="preserve"> : Parents (up to 12 months), Parenting (children &amp; parenting), Parents with toddlers (1-2 years), Parents with preschoolers (3-5 years), Parent with early school-age children (6-8 years), Babywearing (chilidren &amp; parenting), Kids (children &amp; parenting), Children's clothing (apparel)</t>
    </r>
  </si>
  <si>
    <t>Impression</t>
  </si>
  <si>
    <t>CPM</t>
  </si>
  <si>
    <t>20-30 Apr</t>
  </si>
  <si>
    <t>Facebook R&amp;F
R 60% F 2</t>
  </si>
  <si>
    <t>1.-31 May</t>
  </si>
  <si>
    <t>Facebook Thruplay</t>
  </si>
  <si>
    <r>
      <rPr>
        <b/>
        <sz val="11"/>
        <color rgb="FF000000"/>
        <rFont val="Calibri"/>
        <scheme val="minor"/>
      </rPr>
      <t xml:space="preserve">Interest </t>
    </r>
    <r>
      <rPr>
        <sz val="11"/>
        <color rgb="FF000000"/>
        <rFont val="Calibri"/>
        <scheme val="minor"/>
      </rPr>
      <t xml:space="preserve">: Baby powder, Baby shower, Infant, Kids, Child
</t>
    </r>
    <r>
      <rPr>
        <b/>
        <sz val="11"/>
        <color rgb="FF000000"/>
        <rFont val="Calibri"/>
        <scheme val="minor"/>
      </rPr>
      <t xml:space="preserve">Narrow down </t>
    </r>
    <r>
      <rPr>
        <sz val="11"/>
        <color rgb="FF000000"/>
        <rFont val="Calibri"/>
        <scheme val="minor"/>
      </rPr>
      <t xml:space="preserve">: Parents, Parenting
Est. size : 6.9M-8.1M
</t>
    </r>
    <r>
      <rPr>
        <b/>
        <sz val="11"/>
        <color rgb="FF000000"/>
        <rFont val="Calibri"/>
        <scheme val="minor"/>
      </rPr>
      <t>Retarget</t>
    </r>
    <r>
      <rPr>
        <sz val="11"/>
        <color rgb="FF000000"/>
        <rFont val="Calibri"/>
        <scheme val="minor"/>
      </rPr>
      <t xml:space="preserve"> people who engage page &amp; VDO View of R&amp;F &amp; Manifesto</t>
    </r>
  </si>
  <si>
    <t>1 -31 May</t>
  </si>
  <si>
    <t>HTT 15 sec. 
(16:9 &amp; 9:16)</t>
  </si>
  <si>
    <t xml:space="preserve">YouTube VRC </t>
  </si>
  <si>
    <r>
      <rPr>
        <b/>
        <sz val="11"/>
        <color rgb="FF000000"/>
        <rFont val="Calibri"/>
        <scheme val="minor"/>
      </rPr>
      <t>Female</t>
    </r>
    <r>
      <rPr>
        <sz val="11"/>
        <color rgb="FF000000"/>
        <rFont val="Calibri"/>
        <scheme val="minor"/>
      </rPr>
      <t xml:space="preserve">, Age 25-44 years, Thailand
</t>
    </r>
    <r>
      <rPr>
        <b/>
        <sz val="11"/>
        <color rgb="FF000000"/>
        <rFont val="Calibri"/>
        <scheme val="minor"/>
      </rPr>
      <t xml:space="preserve">Parent status </t>
    </r>
    <r>
      <rPr>
        <sz val="11"/>
        <color rgb="FF000000"/>
        <rFont val="Calibri"/>
        <scheme val="minor"/>
      </rPr>
      <t xml:space="preserve">: Parents of infants (0-1 years), Parents of Toddlers (1-3 years), Parents of Preschoolers (4-5 years)
</t>
    </r>
    <r>
      <rPr>
        <b/>
        <sz val="11"/>
        <color rgb="FF000000"/>
        <rFont val="Calibri"/>
        <scheme val="minor"/>
      </rPr>
      <t xml:space="preserve">Affinity </t>
    </r>
    <r>
      <rPr>
        <sz val="11"/>
        <color rgb="FF000000"/>
        <rFont val="Calibri"/>
        <scheme val="minor"/>
      </rPr>
      <t xml:space="preserve">: Baby &amp; Children's Products, Baby bath accessory &amp; information, Baby skincare product
</t>
    </r>
    <r>
      <rPr>
        <b/>
        <sz val="11"/>
        <color rgb="FF000000"/>
        <rFont val="Calibri"/>
        <scheme val="minor"/>
      </rPr>
      <t>Mom's lifetyle affinity:</t>
    </r>
    <r>
      <rPr>
        <sz val="11"/>
        <color rgb="FF000000"/>
        <rFont val="Calibri"/>
        <scheme val="minor"/>
      </rPr>
      <t xml:space="preserve"> Value Shoppers, Department Store Shoppers, Superstore Shoppers
</t>
    </r>
    <r>
      <rPr>
        <b/>
        <sz val="11"/>
        <color rgb="FF000000"/>
        <rFont val="Calibri"/>
        <scheme val="minor"/>
      </rPr>
      <t xml:space="preserve">Custom Keyword : </t>
    </r>
    <r>
      <rPr>
        <sz val="11"/>
        <color rgb="FF000000"/>
        <rFont val="Calibri"/>
        <scheme val="minor"/>
      </rPr>
      <t xml:space="preserve">ดีนี่, D-nee, เบบี้มายด์, Babimild, แชมพูเด็ก, ยาสระผมเด็ก, เด็กแรกเกิด, สบู่เหลวเด็ก , สบู่อาบน้ำเด็ก , ครีมอาบน้ำเด็ก , สบู่ออร์แกนิค
</t>
    </r>
    <r>
      <rPr>
        <b/>
        <sz val="11"/>
        <color rgb="FF000000"/>
        <rFont val="Calibri"/>
        <scheme val="minor"/>
      </rPr>
      <t xml:space="preserve">Placement format: </t>
    </r>
    <r>
      <rPr>
        <sz val="11"/>
        <color rgb="FF000000"/>
        <rFont val="Calibri"/>
        <scheme val="minor"/>
      </rPr>
      <t xml:space="preserve">Instream, In-feed, Short
</t>
    </r>
    <r>
      <rPr>
        <b/>
        <sz val="11"/>
        <color rgb="FF000000"/>
        <rFont val="Calibri"/>
        <scheme val="minor"/>
      </rPr>
      <t>Re-target those who watch VDO Manifesto (Start May)</t>
    </r>
  </si>
  <si>
    <t>20 Apr-30 May</t>
  </si>
  <si>
    <t>HTT 15 sec.
(9:16)</t>
  </si>
  <si>
    <t>TikTok R&amp;F
R50% F 3</t>
  </si>
  <si>
    <r>
      <rPr>
        <b/>
        <sz val="11"/>
        <color rgb="FF000000"/>
        <rFont val="Calibri"/>
        <scheme val="minor"/>
      </rPr>
      <t>Female</t>
    </r>
    <r>
      <rPr>
        <sz val="11"/>
        <color rgb="FF000000"/>
        <rFont val="Calibri"/>
        <scheme val="minor"/>
      </rPr>
      <t xml:space="preserve">, Age 25-44 years, Thailand
</t>
    </r>
    <r>
      <rPr>
        <b/>
        <sz val="11"/>
        <color rgb="FF000000"/>
        <rFont val="Calibri"/>
        <scheme val="minor"/>
      </rPr>
      <t>Interest :</t>
    </r>
    <r>
      <rPr>
        <sz val="11"/>
        <color rgb="FF000000"/>
        <rFont val="Calibri"/>
        <scheme val="minor"/>
      </rPr>
      <t xml:space="preserve"> Baby &amp; Kids Products
</t>
    </r>
    <r>
      <rPr>
        <b/>
        <sz val="11"/>
        <color rgb="FF000000"/>
        <rFont val="Calibri"/>
        <scheme val="minor"/>
      </rPr>
      <t>With interactive Add on : Pop-up Showcase</t>
    </r>
  </si>
  <si>
    <t>HTT 6 sec.</t>
  </si>
  <si>
    <t>TikTok R&amp;F
R60% F 2</t>
  </si>
  <si>
    <r>
      <rPr>
        <b/>
        <sz val="11"/>
        <color theme="1"/>
        <rFont val="Calibri (Body)"/>
      </rPr>
      <t>Female</t>
    </r>
    <r>
      <rPr>
        <sz val="11"/>
        <color theme="1"/>
        <rFont val="Calibri (Body)"/>
      </rPr>
      <t xml:space="preserve">, Age 25-44 years, Thailand
</t>
    </r>
    <r>
      <rPr>
        <b/>
        <sz val="11"/>
        <color theme="1"/>
        <rFont val="Calibri (Body)"/>
      </rPr>
      <t>Interest :</t>
    </r>
    <r>
      <rPr>
        <sz val="11"/>
        <color theme="1"/>
        <rFont val="Calibri (Body)"/>
      </rPr>
      <t xml:space="preserve"> Baby &amp; Kids Products
</t>
    </r>
    <r>
      <rPr>
        <b/>
        <sz val="11"/>
        <color theme="1"/>
        <rFont val="Calibri (Body)"/>
      </rPr>
      <t>With interactive Add on : Pop-up Showcase</t>
    </r>
  </si>
  <si>
    <t>1-31 May</t>
  </si>
  <si>
    <t xml:space="preserve">Detergent </t>
  </si>
  <si>
    <t>Detergent 15 sec.
(16:9)</t>
  </si>
  <si>
    <r>
      <rPr>
        <b/>
        <sz val="11"/>
        <color theme="1"/>
        <rFont val="Calibri"/>
        <scheme val="minor"/>
      </rPr>
      <t>Female</t>
    </r>
    <r>
      <rPr>
        <sz val="11"/>
        <color theme="1"/>
        <rFont val="Calibri"/>
        <scheme val="minor"/>
      </rPr>
      <t xml:space="preserve">, Age 25-44 years, Thailand
</t>
    </r>
    <r>
      <rPr>
        <b/>
        <sz val="11"/>
        <color theme="1"/>
        <rFont val="Calibri"/>
        <scheme val="minor"/>
      </rPr>
      <t xml:space="preserve">Interest </t>
    </r>
    <r>
      <rPr>
        <sz val="11"/>
        <color theme="1"/>
        <rFont val="Calibri"/>
        <scheme val="minor"/>
      </rPr>
      <t>: Parents (up to 12 months), Parenting (children &amp; parenting), Parents with toddlers (1-2 years), Parents with preschoolers (3-5 years), Parent with early school-age children (6-8 years), Babywearing (children &amp; parenting), Kids (children &amp; parenting), Children's clothing (apparel)</t>
    </r>
  </si>
  <si>
    <r>
      <rPr>
        <b/>
        <sz val="11"/>
        <color theme="1"/>
        <rFont val="Calibri"/>
        <scheme val="minor"/>
      </rPr>
      <t>Female</t>
    </r>
    <r>
      <rPr>
        <sz val="11"/>
        <color theme="1"/>
        <rFont val="Calibri"/>
        <scheme val="minor"/>
      </rPr>
      <t xml:space="preserve">, Age 25-44 years, Thailand
</t>
    </r>
    <r>
      <rPr>
        <b/>
        <sz val="11"/>
        <color theme="1"/>
        <rFont val="Calibri"/>
        <scheme val="minor"/>
      </rPr>
      <t xml:space="preserve">Interest </t>
    </r>
    <r>
      <rPr>
        <sz val="11"/>
        <color theme="1"/>
        <rFont val="Calibri"/>
        <scheme val="minor"/>
      </rPr>
      <t xml:space="preserve">: Parents (up to 12 months), Parenting (children &amp; parenting), Parents with toddlers (1-2 years), Parents with preschoolers (3-5 years), Parent with early school-age children (6-8 years), Babywearing (children &amp; parenting), Kids (children &amp; parenting), Children's clothing (apparel)
Est. reach 60% F 2 times </t>
    </r>
  </si>
  <si>
    <r>
      <rPr>
        <b/>
        <sz val="11"/>
        <color rgb="FF000000"/>
        <rFont val="Calibri"/>
        <scheme val="minor"/>
      </rPr>
      <t xml:space="preserve">Interest </t>
    </r>
    <r>
      <rPr>
        <sz val="11"/>
        <color rgb="FF000000"/>
        <rFont val="Calibri"/>
        <scheme val="minor"/>
      </rPr>
      <t xml:space="preserve">: Babywearing, Infant clothing, Children's clothing, Detergent, Infant, Kids, Child
</t>
    </r>
    <r>
      <rPr>
        <b/>
        <sz val="11"/>
        <color rgb="FF000000"/>
        <rFont val="Calibri"/>
        <scheme val="minor"/>
      </rPr>
      <t xml:space="preserve">Narrow down </t>
    </r>
    <r>
      <rPr>
        <sz val="11"/>
        <color rgb="FF000000"/>
        <rFont val="Calibri"/>
        <scheme val="minor"/>
      </rPr>
      <t xml:space="preserve">: Parents, Parenting, 
Est. size : 7.5M-8.8M
</t>
    </r>
    <r>
      <rPr>
        <b/>
        <sz val="11"/>
        <color rgb="FF000000"/>
        <rFont val="Calibri"/>
        <scheme val="minor"/>
      </rPr>
      <t xml:space="preserve">Retarget </t>
    </r>
    <r>
      <rPr>
        <sz val="11"/>
        <color rgb="FF000000"/>
        <rFont val="Calibri"/>
        <scheme val="minor"/>
      </rPr>
      <t>people who engage page &amp; VDO View of R&amp;F &amp; Manifesto</t>
    </r>
  </si>
  <si>
    <t>Detergent 15 sec.
(16:9, 9:16)</t>
  </si>
  <si>
    <r>
      <rPr>
        <b/>
        <sz val="11"/>
        <color rgb="FF000000"/>
        <rFont val="Calibri"/>
        <scheme val="minor"/>
      </rPr>
      <t>Female</t>
    </r>
    <r>
      <rPr>
        <sz val="11"/>
        <color rgb="FF000000"/>
        <rFont val="Calibri"/>
        <scheme val="minor"/>
      </rPr>
      <t xml:space="preserve">, Age 25-44 years, Thailand
</t>
    </r>
    <r>
      <rPr>
        <b/>
        <sz val="11"/>
        <color rgb="FF000000"/>
        <rFont val="Calibri"/>
        <scheme val="minor"/>
      </rPr>
      <t xml:space="preserve">Parent status </t>
    </r>
    <r>
      <rPr>
        <sz val="11"/>
        <color rgb="FF000000"/>
        <rFont val="Calibri"/>
        <scheme val="minor"/>
      </rPr>
      <t xml:space="preserve">: Parents of infants (0-1 years), Parents of Toddlers (1-3 years), Parents of Preschoolers (4-5 years)
</t>
    </r>
    <r>
      <rPr>
        <b/>
        <sz val="11"/>
        <color rgb="FF000000"/>
        <rFont val="Calibri"/>
        <scheme val="minor"/>
      </rPr>
      <t xml:space="preserve">Affinity </t>
    </r>
    <r>
      <rPr>
        <sz val="11"/>
        <color rgb="FF000000"/>
        <rFont val="Calibri"/>
        <scheme val="minor"/>
      </rPr>
      <t xml:space="preserve">: Baby &amp; Children's Products, Baby bath accessory &amp; information, Baby skincare product
</t>
    </r>
    <r>
      <rPr>
        <b/>
        <sz val="11"/>
        <color rgb="FF000000"/>
        <rFont val="Calibri"/>
        <scheme val="minor"/>
      </rPr>
      <t>Mom's lifetyle affinity:</t>
    </r>
    <r>
      <rPr>
        <sz val="11"/>
        <color rgb="FF000000"/>
        <rFont val="Calibri"/>
        <scheme val="minor"/>
      </rPr>
      <t xml:space="preserve"> Value Shoppers, Department Store Shoppers, Superstore Shoppers
</t>
    </r>
    <r>
      <rPr>
        <b/>
        <sz val="11"/>
        <color rgb="FF000000"/>
        <rFont val="Calibri"/>
        <scheme val="minor"/>
      </rPr>
      <t xml:space="preserve">Custom Keyword : </t>
    </r>
    <r>
      <rPr>
        <sz val="11"/>
        <color rgb="FF000000"/>
        <rFont val="Calibri"/>
        <scheme val="minor"/>
      </rPr>
      <t xml:space="preserve">ดีนี่ ,D-nee, เบบี้มายด์, Babimild, น้ำยาซักผ้าเด็ก, น้ำยาซักผ้าเด็กดีนี่ ซักผ้าเด็กแรกเกิด , ซักผ้าออร์แกนิค 
</t>
    </r>
    <r>
      <rPr>
        <b/>
        <sz val="11"/>
        <color rgb="FF000000"/>
        <rFont val="Calibri"/>
        <scheme val="minor"/>
      </rPr>
      <t xml:space="preserve">Placement format: </t>
    </r>
    <r>
      <rPr>
        <sz val="11"/>
        <color rgb="FF000000"/>
        <rFont val="Calibri"/>
        <scheme val="minor"/>
      </rPr>
      <t xml:space="preserve">Instream, In-feed, Short
</t>
    </r>
    <r>
      <rPr>
        <b/>
        <sz val="11"/>
        <color rgb="FF000000"/>
        <rFont val="Calibri"/>
        <family val="2"/>
        <scheme val="minor"/>
      </rPr>
      <t>Re-target those who watch VDO Manifesto (Start May)</t>
    </r>
  </si>
  <si>
    <t>Detergent 15 sec.
(9:16)</t>
  </si>
  <si>
    <r>
      <rPr>
        <b/>
        <sz val="11"/>
        <color theme="1"/>
        <rFont val="Calibri"/>
        <scheme val="minor"/>
      </rPr>
      <t>Female</t>
    </r>
    <r>
      <rPr>
        <sz val="11"/>
        <color theme="1"/>
        <rFont val="Calibri"/>
        <scheme val="minor"/>
      </rPr>
      <t xml:space="preserve">, Age 25-44 years, Thailand
</t>
    </r>
    <r>
      <rPr>
        <b/>
        <sz val="11"/>
        <color theme="1"/>
        <rFont val="Calibri"/>
        <scheme val="minor"/>
      </rPr>
      <t>Interest :</t>
    </r>
    <r>
      <rPr>
        <sz val="11"/>
        <color theme="1"/>
        <rFont val="Calibri"/>
        <scheme val="minor"/>
      </rPr>
      <t xml:space="preserve"> Baby &amp; Kids Products
</t>
    </r>
    <r>
      <rPr>
        <b/>
        <sz val="11"/>
        <color theme="1"/>
        <rFont val="Calibri"/>
        <scheme val="minor"/>
      </rPr>
      <t>With interactive Add on : Pop-up Showcase</t>
    </r>
  </si>
  <si>
    <t>Influencer</t>
  </si>
  <si>
    <t>bomp24</t>
  </si>
  <si>
    <t>VDO</t>
  </si>
  <si>
    <t>TikTok : 1.9M followers</t>
  </si>
  <si>
    <t>140,000-240,000</t>
  </si>
  <si>
    <t>views</t>
  </si>
  <si>
    <t>Boosting</t>
  </si>
  <si>
    <t>tah and friends</t>
  </si>
  <si>
    <t>TikTok : 598,800 followers</t>
  </si>
  <si>
    <t>260,000-440,000</t>
  </si>
  <si>
    <t>maymadi.official</t>
  </si>
  <si>
    <t>TikTok : 342,000 followers</t>
  </si>
  <si>
    <t>59,000-100,000</t>
  </si>
  <si>
    <t>mommy.boo</t>
  </si>
  <si>
    <t>TikTok : 157,700 followers</t>
  </si>
  <si>
    <t>AD ADDICT</t>
  </si>
  <si>
    <t>Page Marketing</t>
  </si>
  <si>
    <t>Facebook : 267,000 followers</t>
  </si>
  <si>
    <t>Brand Buffet</t>
  </si>
  <si>
    <t>Facebook : 623,000 followers</t>
  </si>
  <si>
    <t>Brand inside</t>
  </si>
  <si>
    <t>Facebook : 617,000 followers</t>
  </si>
  <si>
    <t>Maketeer</t>
  </si>
  <si>
    <t>Facebook : 1,000,000 followers</t>
  </si>
  <si>
    <t>Marketing Oops</t>
  </si>
  <si>
    <t>Facebook : 761,000 followers</t>
  </si>
  <si>
    <t>Media budget</t>
  </si>
  <si>
    <t>Agency Fee</t>
  </si>
  <si>
    <t>Total Media budget</t>
  </si>
  <si>
    <t>Influencer budget</t>
  </si>
  <si>
    <t>Influencer management</t>
  </si>
  <si>
    <t>Total infleuncer budget</t>
  </si>
  <si>
    <t>Grand total</t>
  </si>
  <si>
    <t>https://www.youtube.com/@LydiaSarunratDeane</t>
  </si>
  <si>
    <t>https://www.youtube.com/@praew2183</t>
  </si>
  <si>
    <t>https://www.youtube.com/@BeamOilChannel</t>
  </si>
  <si>
    <t>https://www.youtube.com/@NewChaiyapol</t>
  </si>
  <si>
    <t>https://www.youtube.com/@KatherynLee</t>
  </si>
  <si>
    <t>https://www.youtube.com/@icepadie</t>
  </si>
  <si>
    <t>https://www.youtube.com/@family_journey</t>
  </si>
  <si>
    <t>https://www.youtube.com/@drpanthitaphuketpediatric</t>
  </si>
  <si>
    <t>https://www.youtube.com/@kankantathavorn</t>
  </si>
  <si>
    <t>https://www.youtube.com/@Mindset_TV</t>
  </si>
  <si>
    <t>https://www.youtube.com/@MewNitthaJirayungyurn</t>
  </si>
  <si>
    <t>https://www.youtube.com/@DueArisara</t>
  </si>
  <si>
    <t>https://www.youtube.com/@PapueanSkulthai</t>
  </si>
  <si>
    <t>https://www.youtube.com/@pantipa.a</t>
  </si>
  <si>
    <t>https://www.youtube.com/@vavyrock</t>
  </si>
  <si>
    <t>Kodomo Demon Slayer</t>
  </si>
  <si>
    <t>[P2025-116] HTT Kids Demon Slayer Bubble Bath</t>
  </si>
  <si>
    <t>15/04/2025</t>
  </si>
  <si>
    <t>Sep-Oct'25</t>
  </si>
  <si>
    <t>Platform</t>
  </si>
  <si>
    <t>KPI</t>
  </si>
  <si>
    <t>Sep</t>
  </si>
  <si>
    <t>Oct</t>
  </si>
  <si>
    <t>remark</t>
  </si>
  <si>
    <t>audience size (ต้น)</t>
  </si>
  <si>
    <t>audience size (ปลาย)</t>
  </si>
  <si>
    <t>Est Frequency (ต้น)</t>
  </si>
  <si>
    <t>Est Frequency (ปลาย)</t>
  </si>
  <si>
    <t xml:space="preserve">Est Reach </t>
  </si>
  <si>
    <t>Est Reach % (ต้น)</t>
  </si>
  <si>
    <t>Est Reach % (ปลาย)</t>
  </si>
  <si>
    <t>Meta</t>
  </si>
  <si>
    <t xml:space="preserve">VDO 6 sec. </t>
  </si>
  <si>
    <r>
      <rPr>
        <b/>
        <sz val="10"/>
        <color rgb="FF000000"/>
        <rFont val="Calibri"/>
        <scheme val="minor"/>
      </rPr>
      <t>Mom ​
Demographic :</t>
    </r>
    <r>
      <rPr>
        <sz val="10"/>
        <color rgb="FF000000"/>
        <rFont val="Calibri"/>
        <scheme val="minor"/>
      </rPr>
      <t xml:space="preserve"> Female 25 – 44 Years Old, BU</t>
    </r>
    <r>
      <rPr>
        <b/>
        <sz val="10"/>
        <color rgb="FF000000"/>
        <rFont val="Calibri"/>
        <scheme val="minor"/>
      </rPr>
      <t xml:space="preserve">​
Interest: </t>
    </r>
    <r>
      <rPr>
        <sz val="10"/>
        <color rgb="FF000000"/>
        <rFont val="Calibri"/>
        <scheme val="minor"/>
      </rPr>
      <t xml:space="preserve">Baby shower, Baby shop, Child, Childcare, New baby,  baby care,  Primary education, Primary school, Toys, Children's clothing​, Kids, Fun kids
</t>
    </r>
    <r>
      <rPr>
        <b/>
        <sz val="10"/>
        <color rgb="FF000000"/>
        <rFont val="Calibri"/>
        <scheme val="minor"/>
      </rPr>
      <t xml:space="preserve">Narrow down Parent : </t>
    </r>
    <r>
      <rPr>
        <sz val="10"/>
        <color rgb="FF000000"/>
        <rFont val="Calibri"/>
        <scheme val="minor"/>
      </rPr>
      <t xml:space="preserve">Parenting (children &amp; parenting), Parents (up to 12 months), Parents with toddlers (01-02 years), Parents with preschoolers (03-05 years), Parents with early school-age children (06-08 years)
</t>
    </r>
    <r>
      <rPr>
        <b/>
        <sz val="10"/>
        <color rgb="FF000000"/>
        <rFont val="Calibri"/>
        <scheme val="minor"/>
      </rPr>
      <t xml:space="preserve">
</t>
    </r>
    <r>
      <rPr>
        <sz val="10"/>
        <color rgb="FF000000"/>
        <rFont val="Calibri"/>
        <scheme val="minor"/>
      </rPr>
      <t>Brand tag : Johnson's Baby, Johnson's Baby (toiletries)</t>
    </r>
    <r>
      <rPr>
        <sz val="10"/>
        <color rgb="FFFF0000"/>
        <rFont val="Calibri"/>
        <scheme val="minor"/>
      </rPr>
      <t xml:space="preserve"> </t>
    </r>
  </si>
  <si>
    <t>1-31 Oct</t>
  </si>
  <si>
    <t>Google</t>
  </si>
  <si>
    <r>
      <rPr>
        <b/>
        <sz val="10"/>
        <color rgb="FF000000"/>
        <rFont val="Calibri"/>
        <scheme val="minor"/>
      </rPr>
      <t xml:space="preserve">Mom 
Demographic : </t>
    </r>
    <r>
      <rPr>
        <sz val="10"/>
        <color rgb="FF000000"/>
        <rFont val="Calibri"/>
        <scheme val="minor"/>
      </rPr>
      <t xml:space="preserve">Female 25 – 44 Years Old, BU​
</t>
    </r>
    <r>
      <rPr>
        <b/>
        <sz val="10"/>
        <color rgb="FF000000"/>
        <rFont val="Calibri"/>
        <scheme val="minor"/>
      </rPr>
      <t xml:space="preserve">Affinity : </t>
    </r>
    <r>
      <rPr>
        <sz val="10"/>
        <color rgb="FF000000"/>
        <rFont val="Calibri"/>
        <scheme val="minor"/>
      </rPr>
      <t xml:space="preserve">Family-Focused​
</t>
    </r>
    <r>
      <rPr>
        <b/>
        <sz val="10"/>
        <color rgb="FF000000"/>
        <rFont val="Calibri"/>
        <scheme val="minor"/>
      </rPr>
      <t xml:space="preserve">In-market : </t>
    </r>
    <r>
      <rPr>
        <sz val="10"/>
        <color rgb="FF000000"/>
        <rFont val="Calibri"/>
        <scheme val="minor"/>
      </rPr>
      <t xml:space="preserve">Baby &amp; Children's Products, Childcare​
</t>
    </r>
    <r>
      <rPr>
        <b/>
        <sz val="10"/>
        <color rgb="FF000000"/>
        <rFont val="Calibri"/>
        <scheme val="minor"/>
      </rPr>
      <t xml:space="preserve">Custom Keywords : </t>
    </r>
    <r>
      <rPr>
        <sz val="10"/>
        <color rgb="FF000000"/>
        <rFont val="Calibri"/>
        <scheme val="minor"/>
      </rPr>
      <t xml:space="preserve">เรียนพิเศษประถม, โรงเรียนประถม, โรงเรียนอนุบาล, อาบน้ำเด็ก, การเลี้ยงลูก, บับเบิ้ลอาบน้ำ, bubble bath, สบู่ตีฟอง, ที่ตีฟองสบู่, Bath bomb, อ่างอาบน้ำเด็ก, ของเล่นอาบน้ำเด็ก, ของเล่น, ของเล่นเสริมพัฒนาการ, Executive Function, โคโดโม, Kodomo, ดาบพิฆาตอสูร, Demon slayer, Kimetsu no Yaiba, Cartoon, การ์ตูน, Babi mild, เบบี้มายด์, D-nee, ดีนี่, จอห์นสัน เบบี้, Johnson’s baby
</t>
    </r>
  </si>
  <si>
    <t>cannot estimate</t>
  </si>
  <si>
    <t>Tiktok</t>
  </si>
  <si>
    <r>
      <rPr>
        <b/>
        <sz val="10"/>
        <color rgb="FF000000"/>
        <rFont val="Calibri"/>
        <scheme val="minor"/>
      </rPr>
      <t>Mom 
Demographic</t>
    </r>
    <r>
      <rPr>
        <sz val="10"/>
        <color rgb="FF000000"/>
        <rFont val="Calibri"/>
        <scheme val="minor"/>
      </rPr>
      <t xml:space="preserve"> : Female 25 – 44 Years Old, BU​
</t>
    </r>
    <r>
      <rPr>
        <b/>
        <sz val="10"/>
        <color rgb="FF000000"/>
        <rFont val="Calibri"/>
        <scheme val="minor"/>
      </rPr>
      <t xml:space="preserve">Interest </t>
    </r>
    <r>
      <rPr>
        <sz val="10"/>
        <color rgb="FF000000"/>
        <rFont val="Calibri"/>
        <scheme val="minor"/>
      </rPr>
      <t xml:space="preserve">: Baby Formula, baby care, Baby shower, baby’s, mother and baby products, Parenting, Parenting, Baby Formula, new parents, parents and children, for parents​
</t>
    </r>
    <r>
      <rPr>
        <b/>
        <sz val="10"/>
        <color rgb="FF000000"/>
        <rFont val="Calibri"/>
        <scheme val="minor"/>
      </rPr>
      <t>Hashtag</t>
    </r>
    <r>
      <rPr>
        <sz val="10"/>
        <color rgb="FF000000"/>
        <rFont val="Calibri"/>
        <scheme val="minor"/>
      </rPr>
      <t xml:space="preserve"> : #พ่อแม่ลูก, #พ่อแม่มือใหม่, #แม่และลูก, แม่และเด็ก, 
#พ่อแม่ลูก,#กิจกรรมเด็ก, #ดวงใจของแม่, #ลูกน้อย, #นิทานก่อนนอน, #เลี้ยงลูก #ครอบครัว, #tiktokครอบครัว, #babyshower, 
#พาลูกเที่ยว, #ดาบพิฆาตอสูร, #demonslayer
</t>
    </r>
    <r>
      <rPr>
        <b/>
        <sz val="10"/>
        <color rgb="FF000000"/>
        <rFont val="Calibri"/>
        <scheme val="minor"/>
      </rPr>
      <t>VDO Interaction</t>
    </r>
    <r>
      <rPr>
        <sz val="10"/>
        <color rgb="FF000000"/>
        <rFont val="Calibri"/>
        <scheme val="minor"/>
      </rPr>
      <t xml:space="preserve"> : Family
</t>
    </r>
    <r>
      <rPr>
        <b/>
        <sz val="10"/>
        <color rgb="FF000000"/>
        <rFont val="Calibri"/>
        <scheme val="minor"/>
      </rPr>
      <t>Creator Interaction</t>
    </r>
    <r>
      <rPr>
        <sz val="10"/>
        <color rgb="FF000000"/>
        <rFont val="Calibri"/>
        <scheme val="minor"/>
      </rPr>
      <t xml:space="preserve"> : Family</t>
    </r>
  </si>
  <si>
    <t>Media</t>
  </si>
  <si>
    <t>Total online budget</t>
  </si>
  <si>
    <t>Grand Total</t>
  </si>
  <si>
    <t>fee12%</t>
  </si>
  <si>
    <t>management fee 18%</t>
  </si>
  <si>
    <t>on air</t>
  </si>
  <si>
    <t>Est Frequency</t>
  </si>
  <si>
    <t>Facebook VDO</t>
  </si>
  <si>
    <t>VDO 15 sec.</t>
  </si>
  <si>
    <r>
      <rPr>
        <b/>
        <sz val="10"/>
        <color rgb="FF000000"/>
        <rFont val="Calibri"/>
        <scheme val="minor"/>
      </rPr>
      <t>Mom ​
Demographic :</t>
    </r>
    <r>
      <rPr>
        <sz val="10"/>
        <color rgb="FF000000"/>
        <rFont val="Calibri"/>
        <scheme val="minor"/>
      </rPr>
      <t xml:space="preserve"> Female 25 – 44 Years Old, BU</t>
    </r>
    <r>
      <rPr>
        <b/>
        <sz val="10"/>
        <color rgb="FF000000"/>
        <rFont val="Calibri"/>
        <scheme val="minor"/>
      </rPr>
      <t xml:space="preserve">​
Interest: </t>
    </r>
    <r>
      <rPr>
        <sz val="10"/>
        <color rgb="FF000000"/>
        <rFont val="Calibri"/>
        <scheme val="minor"/>
      </rPr>
      <t xml:space="preserve">Baby shower, Baby shop, Child, Childcare, New baby,  baby care,  Primary education, Primary school, Toys, Children's clothing​, Kids, Fun kids
</t>
    </r>
    <r>
      <rPr>
        <b/>
        <sz val="10"/>
        <color rgb="FF000000"/>
        <rFont val="Calibri"/>
        <scheme val="minor"/>
      </rPr>
      <t xml:space="preserve">Narrow down Parent : </t>
    </r>
    <r>
      <rPr>
        <sz val="10"/>
        <color rgb="FF000000"/>
        <rFont val="Calibri"/>
        <scheme val="minor"/>
      </rPr>
      <t xml:space="preserve">Parenting (children &amp; parenting), Parents (up to 12 months), Parents with toddlers (01-02 years), Parents with preschoolers (03-05 years), Parents with early school-age children (06-08 years)
</t>
    </r>
    <r>
      <rPr>
        <b/>
        <sz val="10"/>
        <color rgb="FF000000"/>
        <rFont val="Calibri"/>
        <scheme val="minor"/>
      </rPr>
      <t xml:space="preserve">
</t>
    </r>
    <r>
      <rPr>
        <sz val="10"/>
        <color rgb="FF000000"/>
        <rFont val="Calibri"/>
        <scheme val="minor"/>
      </rPr>
      <t>Brand tag : Johnson's Baby, Johnson's Baby (toiletries)</t>
    </r>
  </si>
  <si>
    <t xml:space="preserve">1 Sep - 15 Oct  </t>
  </si>
  <si>
    <t>KV</t>
  </si>
  <si>
    <t>16 - 31 Oct</t>
  </si>
  <si>
    <t>VDO 6 sec.</t>
  </si>
  <si>
    <t>Tiktok VDO view</t>
  </si>
  <si>
    <r>
      <rPr>
        <b/>
        <sz val="10"/>
        <color rgb="FF000000"/>
        <rFont val="Calibri"/>
        <scheme val="minor"/>
      </rPr>
      <t>Mom 
Demographic</t>
    </r>
    <r>
      <rPr>
        <sz val="10"/>
        <color rgb="FF000000"/>
        <rFont val="Calibri"/>
        <scheme val="minor"/>
      </rPr>
      <t xml:space="preserve"> : Female 25 – 44 Years Old, BU​
</t>
    </r>
    <r>
      <rPr>
        <b/>
        <sz val="10"/>
        <color rgb="FF000000"/>
        <rFont val="Calibri"/>
        <scheme val="minor"/>
      </rPr>
      <t xml:space="preserve">Interest </t>
    </r>
    <r>
      <rPr>
        <sz val="10"/>
        <color rgb="FF000000"/>
        <rFont val="Calibri"/>
        <scheme val="minor"/>
      </rPr>
      <t xml:space="preserve">: Baby Formula, baby care, Baby shower, baby’s, mother and baby products, Parenting, Parenting, Baby Formula, new parents, parents and children, for parents​
</t>
    </r>
    <r>
      <rPr>
        <b/>
        <sz val="10"/>
        <color rgb="FF000000"/>
        <rFont val="Calibri"/>
        <scheme val="minor"/>
      </rPr>
      <t>Hashtag</t>
    </r>
    <r>
      <rPr>
        <sz val="10"/>
        <color rgb="FF000000"/>
        <rFont val="Calibri"/>
        <scheme val="minor"/>
      </rPr>
      <t xml:space="preserve"> : #พ่อแม่ลูก, #พ่อแม่มือใหม่, #แม่และลูก, แม่และเด็ก, 
#พ่อแม่ลูก,#กิจกรรมเด็ก, #ดวงใจของแม่, #ลูกน้อย, #นิทานก่อนนอน, #เลี้ยงลูก #ครอบครัว, #tiktokครอบครัว, #babyshower, 
#พาลูกเที่ยว, #ดาบพิฆาตอสูร, #demonslayer
</t>
    </r>
    <r>
      <rPr>
        <b/>
        <sz val="10"/>
        <color rgb="FF000000"/>
        <rFont val="Calibri"/>
        <scheme val="minor"/>
      </rPr>
      <t>VDO Interaction</t>
    </r>
    <r>
      <rPr>
        <sz val="10"/>
        <color rgb="FF000000"/>
        <rFont val="Calibri"/>
        <scheme val="minor"/>
      </rPr>
      <t xml:space="preserve"> : Family
</t>
    </r>
    <r>
      <rPr>
        <b/>
        <sz val="10"/>
        <color rgb="FF000000"/>
        <rFont val="Calibri"/>
        <scheme val="minor"/>
      </rPr>
      <t>Creator Interaction</t>
    </r>
    <r>
      <rPr>
        <sz val="10"/>
        <color rgb="FF000000"/>
        <rFont val="Calibri"/>
        <scheme val="minor"/>
      </rPr>
      <t xml:space="preserve"> : Family
</t>
    </r>
  </si>
  <si>
    <t xml:space="preserve">1 Sep - 31 Oct </t>
  </si>
  <si>
    <r>
      <rPr>
        <b/>
        <sz val="10"/>
        <color rgb="FF000000"/>
        <rFont val="Calibri"/>
        <scheme val="minor"/>
      </rPr>
      <t xml:space="preserve">Mom 
Demographic : </t>
    </r>
    <r>
      <rPr>
        <sz val="10"/>
        <color rgb="FF000000"/>
        <rFont val="Calibri"/>
        <scheme val="minor"/>
      </rPr>
      <t xml:space="preserve">Female 25 – 44 Years Old, BU​
</t>
    </r>
    <r>
      <rPr>
        <b/>
        <sz val="10"/>
        <color rgb="FF000000"/>
        <rFont val="Calibri"/>
        <scheme val="minor"/>
      </rPr>
      <t xml:space="preserve">Affinity : </t>
    </r>
    <r>
      <rPr>
        <sz val="10"/>
        <color rgb="FF000000"/>
        <rFont val="Calibri"/>
        <scheme val="minor"/>
      </rPr>
      <t xml:space="preserve">Family-Focused​
</t>
    </r>
    <r>
      <rPr>
        <b/>
        <sz val="10"/>
        <color rgb="FF000000"/>
        <rFont val="Calibri"/>
        <scheme val="minor"/>
      </rPr>
      <t xml:space="preserve">In-market : </t>
    </r>
    <r>
      <rPr>
        <sz val="10"/>
        <color rgb="FF000000"/>
        <rFont val="Calibri"/>
        <scheme val="minor"/>
      </rPr>
      <t xml:space="preserve">Baby &amp; Children's Products, Childcare​
</t>
    </r>
    <r>
      <rPr>
        <b/>
        <sz val="10"/>
        <color rgb="FF000000"/>
        <rFont val="Calibri"/>
        <scheme val="minor"/>
      </rPr>
      <t xml:space="preserve">Custom Keywords : </t>
    </r>
    <r>
      <rPr>
        <sz val="10"/>
        <color rgb="FF000000"/>
        <rFont val="Calibri"/>
        <scheme val="minor"/>
      </rPr>
      <t xml:space="preserve">เรียนพิเศษประถม, โรงเรียนประถม, โรงเรียนอนุบาล, อาบน้ำเด็ก, การเลี้ยงลูก, บับเบิ้ลอาบน้ำ, bubble bath, สบู่ตีฟอง, ที่ตีฟองสบู่, Bath bomb, อ่างอาบน้ำเด็ก, ของเล่นอาบน้ำเด็ก, ของเล่น, ของเล่นเสริมพัฒนาการ, Executive Function, โคโดโม, Kodomo, ดาบพิฆาตอสูร, Demon slayer, Kimetsu no Yaiba, Cartoon, การ์ตูน, Babi mild, เบบี้มายด์, D-nee, ดีนี่, จอห์นสัน เบบี้, Johnson’s baby
</t>
    </r>
    <r>
      <rPr>
        <b/>
        <sz val="10"/>
        <color rgb="FFFF0000"/>
        <rFont val="Calibri"/>
        <scheme val="minor"/>
      </rPr>
      <t>(Excluded who watched VDO 6s : 16-31 Oct)</t>
    </r>
  </si>
  <si>
    <r>
      <t xml:space="preserve">All Gender, </t>
    </r>
    <r>
      <rPr>
        <sz val="10"/>
        <color rgb="FF000000"/>
        <rFont val="Calibri"/>
        <scheme val="minor"/>
      </rPr>
      <t xml:space="preserve">Age 25-44 years, Thailand
</t>
    </r>
    <r>
      <rPr>
        <b/>
        <sz val="10"/>
        <color rgb="FF000000"/>
        <rFont val="Calibri"/>
        <scheme val="minor"/>
      </rPr>
      <t>Interest :</t>
    </r>
    <r>
      <rPr>
        <sz val="10"/>
        <color rgb="FF000000"/>
        <rFont val="Calibri"/>
        <scheme val="minor"/>
      </rPr>
      <t xml:space="preserve"> Baby powder, Baby shower, Baby wearing, Infant clothing
</t>
    </r>
    <r>
      <rPr>
        <b/>
        <sz val="10"/>
        <color rgb="FF000000"/>
        <rFont val="Calibri"/>
        <scheme val="minor"/>
      </rPr>
      <t>Narrow down :</t>
    </r>
    <r>
      <rPr>
        <sz val="10"/>
        <color rgb="FF000000"/>
        <rFont val="Calibri"/>
        <scheme val="minor"/>
      </rPr>
      <t xml:space="preserve"> Parenting, Parents (up to 12 months), Parents with toddlers (1-2 years), Parents with preschoolers (3-5 years), Kids, Children’s clothing
Est. Size :6M</t>
    </r>
  </si>
  <si>
    <r>
      <t>All Gender,</t>
    </r>
    <r>
      <rPr>
        <sz val="10"/>
        <color rgb="FF000000"/>
        <rFont val="Calibri"/>
        <scheme val="minor"/>
      </rPr>
      <t xml:space="preserve"> Age 25-44 years, Thailand </t>
    </r>
    <r>
      <rPr>
        <b/>
        <sz val="10"/>
        <color rgb="FF000000"/>
        <rFont val="Calibri"/>
        <scheme val="minor"/>
      </rPr>
      <t>Parent status</t>
    </r>
    <r>
      <rPr>
        <sz val="10"/>
        <color rgb="FF000000"/>
        <rFont val="Calibri"/>
        <scheme val="minor"/>
      </rPr>
      <t xml:space="preserve"> : Parents of infants (0-1 years), Parents of Toddlers (1-3 years), Parents of Preschoolers (4-5 years)
</t>
    </r>
    <r>
      <rPr>
        <b/>
        <sz val="10"/>
        <color rgb="FF000000"/>
        <rFont val="Calibri"/>
        <scheme val="minor"/>
      </rPr>
      <t xml:space="preserve">In-market </t>
    </r>
    <r>
      <rPr>
        <sz val="10"/>
        <color rgb="FF000000"/>
        <rFont val="Calibri"/>
        <scheme val="minor"/>
      </rPr>
      <t xml:space="preserve">: Baby &amp; Children's Products
</t>
    </r>
    <r>
      <rPr>
        <b/>
        <sz val="10"/>
        <color rgb="FF000000"/>
        <rFont val="Calibri"/>
        <scheme val="minor"/>
      </rPr>
      <t xml:space="preserve">Custom keyword </t>
    </r>
    <r>
      <rPr>
        <sz val="10"/>
        <color rgb="FF000000"/>
        <rFont val="Calibri"/>
        <scheme val="minor"/>
      </rPr>
      <t xml:space="preserve">: น้ำยาซักผ้าเด็ก, น้ำยาซักผ้าดีนี่, ดีนี่, แชมพูเด็ก, เด็กแรกเกิด
</t>
    </r>
    <r>
      <rPr>
        <b/>
        <sz val="10"/>
        <color rgb="FF000000"/>
        <rFont val="Calibri"/>
        <scheme val="minor"/>
      </rPr>
      <t>Placement</t>
    </r>
    <r>
      <rPr>
        <sz val="10"/>
        <color rgb="FF000000"/>
        <rFont val="Calibri"/>
        <scheme val="minor"/>
      </rPr>
      <t xml:space="preserve"> : potatoband, Genierock, ZuvapitSnap, theAsianparent Thailand, Little Angel Thai - เพลงกล่อมเด็ก เพลงเด็ก,KidsOnCloud, Kids Tv - เทพนิยายและนิทานเด็กในภาษาไทย, drnoithefamily, จิตวิทยาเด็กและวัยรุ่นโดยนักจิตวิทยา, PRAEW, BoomTharis, Mayy R</t>
    </r>
  </si>
  <si>
    <t>1 May-30 Jun</t>
  </si>
  <si>
    <t>Female, Age 25-44 years, Thailand
Interest : Baby &amp; Kids Products
With interactive Add on : Pop-up Showcase</t>
  </si>
  <si>
    <r>
      <rPr>
        <b/>
        <sz val="11"/>
        <color rgb="FF000000"/>
        <rFont val="Calibri"/>
        <scheme val="minor"/>
      </rPr>
      <t>Female</t>
    </r>
    <r>
      <rPr>
        <sz val="11"/>
        <color rgb="FF000000"/>
        <rFont val="Calibri"/>
        <scheme val="minor"/>
      </rPr>
      <t xml:space="preserve">, Age 25-44 years, Thailand
</t>
    </r>
    <r>
      <rPr>
        <b/>
        <sz val="11"/>
        <color rgb="FF000000"/>
        <rFont val="Calibri"/>
        <scheme val="minor"/>
      </rPr>
      <t xml:space="preserve">Interest </t>
    </r>
    <r>
      <rPr>
        <sz val="11"/>
        <color rgb="FF000000"/>
        <rFont val="Calibri"/>
        <scheme val="minor"/>
      </rPr>
      <t xml:space="preserve">: Parents (up to 12 months), Parenting (children &amp; parenting), Parents with toddlers (1-2 years), Parents with preschoolers (3-5 years), Parent with early school-age children (6-8 years), Babywearing (children &amp; parenting), Kids (children &amp; parenting), Children's clothing (apparel)
Est. reach 60% F 2 times </t>
    </r>
  </si>
  <si>
    <r>
      <rPr>
        <b/>
        <sz val="11"/>
        <color rgb="FF000000"/>
        <rFont val="Calibri"/>
        <scheme val="minor"/>
      </rPr>
      <t>Female</t>
    </r>
    <r>
      <rPr>
        <sz val="11"/>
        <color rgb="FF000000"/>
        <rFont val="Calibri"/>
        <scheme val="minor"/>
      </rPr>
      <t xml:space="preserve">, Age 25-44 years, Thailand
</t>
    </r>
    <r>
      <rPr>
        <b/>
        <sz val="11"/>
        <color rgb="FF000000"/>
        <rFont val="Calibri"/>
        <scheme val="minor"/>
      </rPr>
      <t xml:space="preserve">Parent status </t>
    </r>
    <r>
      <rPr>
        <sz val="11"/>
        <color rgb="FF000000"/>
        <rFont val="Calibri"/>
        <scheme val="minor"/>
      </rPr>
      <t xml:space="preserve">: Parents of infants (0-1 years), Parents of Toddlers (1-3 years), Parents of Preschoolers (4-5 years)
</t>
    </r>
    <r>
      <rPr>
        <b/>
        <sz val="11"/>
        <color rgb="FF000000"/>
        <rFont val="Calibri"/>
        <scheme val="minor"/>
      </rPr>
      <t xml:space="preserve">Affinity </t>
    </r>
    <r>
      <rPr>
        <sz val="11"/>
        <color rgb="FF000000"/>
        <rFont val="Calibri"/>
        <scheme val="minor"/>
      </rPr>
      <t xml:space="preserve">: Baby &amp; Children's Products, Baby bath accessory &amp; information, Baby skincare product
</t>
    </r>
    <r>
      <rPr>
        <b/>
        <sz val="11"/>
        <color rgb="FF000000"/>
        <rFont val="Calibri"/>
        <scheme val="minor"/>
      </rPr>
      <t>Mom's lifetyle affinity:</t>
    </r>
    <r>
      <rPr>
        <sz val="11"/>
        <color rgb="FF000000"/>
        <rFont val="Calibri"/>
        <scheme val="minor"/>
      </rPr>
      <t xml:space="preserve"> Value Shoppers, Department Store Shoppers, Superstore Shoppers
</t>
    </r>
    <r>
      <rPr>
        <b/>
        <sz val="11"/>
        <color rgb="FF000000"/>
        <rFont val="Calibri"/>
        <scheme val="minor"/>
      </rPr>
      <t xml:space="preserve">Custom Keyword : </t>
    </r>
    <r>
      <rPr>
        <sz val="11"/>
        <color rgb="FF000000"/>
        <rFont val="Calibri"/>
        <scheme val="minor"/>
      </rPr>
      <t xml:space="preserve">ดีนี่ ,D-nee, เบบี้มายด์, Babimild, น้ำยาซักผ้าเด็ก, น้ำยาซักผ้าเด็กดีนี่ ซักผ้าเด็กแรกเกิด , ซักผ้าออร์แกนิค 
</t>
    </r>
    <r>
      <rPr>
        <b/>
        <sz val="11"/>
        <color rgb="FF000000"/>
        <rFont val="Calibri"/>
        <scheme val="minor"/>
      </rPr>
      <t xml:space="preserve">Placement format: </t>
    </r>
    <r>
      <rPr>
        <sz val="11"/>
        <color rgb="FF000000"/>
        <rFont val="Calibri"/>
        <scheme val="minor"/>
      </rPr>
      <t>Instream, In-feed, Short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</si>
</sst>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mm/yyyy"/>
    <numFmt numFmtId="166" formatCode="_([$THB]\ * #,##0_);_([$THB]\ * \(#,##0\);_([$THB]\ * &quot;-&quot;??_);_(@_)"/>
    <numFmt numFmtId="167" formatCode="_(* #,##0.0_);_(* \(#,##0.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theme="1"/>
      <name val="Leelawadee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444444"/>
      <name val="Calibri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Leelawadee"/>
      <charset val="1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0"/>
      <color rgb="FFFF0000"/>
      <name val="Calibri"/>
      <scheme val="minor"/>
    </font>
    <font>
      <sz val="10"/>
      <color rgb="FFFF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b/>
      <sz val="10"/>
      <color theme="0"/>
      <name val="Calibri"/>
      <scheme val="minor"/>
    </font>
    <font>
      <sz val="10"/>
      <color theme="1"/>
      <name val="Calibri"/>
      <scheme val="minor"/>
    </font>
    <font>
      <sz val="9"/>
      <color rgb="FF000000"/>
      <name val="Calibri"/>
      <scheme val="minor"/>
    </font>
    <font>
      <sz val="11"/>
      <color theme="1"/>
      <name val="Calibri (Body)"/>
    </font>
    <font>
      <b/>
      <sz val="11"/>
      <color theme="1"/>
      <name val="Calibri (Body)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6FA9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7BA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AF6FA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rgb="FF000000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3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165" fontId="9" fillId="0" borderId="0" xfId="0" applyNumberFormat="1" applyFont="1" applyAlignment="1">
      <alignment horizontal="left"/>
    </xf>
    <xf numFmtId="164" fontId="6" fillId="0" borderId="0" xfId="0" applyNumberFormat="1" applyFont="1"/>
    <xf numFmtId="166" fontId="6" fillId="0" borderId="0" xfId="0" applyNumberFormat="1" applyFont="1"/>
    <xf numFmtId="164" fontId="6" fillId="0" borderId="0" xfId="1" applyNumberFormat="1" applyFont="1"/>
    <xf numFmtId="9" fontId="6" fillId="0" borderId="0" xfId="0" applyNumberFormat="1" applyFont="1"/>
    <xf numFmtId="9" fontId="6" fillId="0" borderId="0" xfId="2" applyFont="1"/>
    <xf numFmtId="0" fontId="7" fillId="3" borderId="2" xfId="0" applyFont="1" applyFill="1" applyBorder="1"/>
    <xf numFmtId="0" fontId="7" fillId="3" borderId="1" xfId="0" applyFont="1" applyFill="1" applyBorder="1"/>
    <xf numFmtId="0" fontId="7" fillId="3" borderId="0" xfId="0" applyFont="1" applyFill="1"/>
    <xf numFmtId="0" fontId="7" fillId="3" borderId="2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164" fontId="7" fillId="3" borderId="1" xfId="1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0" xfId="0" applyNumberFormat="1" applyFont="1" applyFill="1" applyAlignment="1">
      <alignment vertical="center"/>
    </xf>
    <xf numFmtId="164" fontId="7" fillId="3" borderId="3" xfId="1" applyNumberFormat="1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0" fontId="13" fillId="0" borderId="5" xfId="0" applyFont="1" applyBorder="1" applyAlignment="1">
      <alignment readingOrder="1"/>
    </xf>
    <xf numFmtId="0" fontId="6" fillId="0" borderId="7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4" fillId="0" borderId="0" xfId="0" applyFont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164" fontId="6" fillId="0" borderId="15" xfId="1" applyNumberFormat="1" applyFont="1" applyBorder="1" applyAlignment="1">
      <alignment horizontal="right"/>
    </xf>
    <xf numFmtId="164" fontId="6" fillId="0" borderId="16" xfId="1" applyNumberFormat="1" applyFont="1" applyBorder="1" applyAlignment="1">
      <alignment horizontal="right"/>
    </xf>
    <xf numFmtId="164" fontId="6" fillId="0" borderId="17" xfId="1" applyNumberFormat="1" applyFont="1" applyBorder="1" applyAlignment="1">
      <alignment horizontal="right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6" fillId="0" borderId="15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right"/>
    </xf>
    <xf numFmtId="164" fontId="6" fillId="0" borderId="17" xfId="0" applyNumberFormat="1" applyFont="1" applyBorder="1" applyAlignment="1">
      <alignment horizontal="right"/>
    </xf>
    <xf numFmtId="164" fontId="6" fillId="0" borderId="15" xfId="1" applyNumberFormat="1" applyFont="1" applyBorder="1" applyAlignment="1">
      <alignment vertical="center"/>
    </xf>
    <xf numFmtId="164" fontId="6" fillId="0" borderId="16" xfId="1" applyNumberFormat="1" applyFont="1" applyBorder="1" applyAlignment="1">
      <alignment vertical="center"/>
    </xf>
    <xf numFmtId="164" fontId="6" fillId="0" borderId="17" xfId="1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0" xfId="1" applyNumberFormat="1" applyFont="1" applyBorder="1" applyAlignment="1">
      <alignment horizontal="right" vertical="center"/>
    </xf>
    <xf numFmtId="0" fontId="6" fillId="0" borderId="5" xfId="0" applyFont="1" applyBorder="1"/>
    <xf numFmtId="0" fontId="13" fillId="0" borderId="13" xfId="0" applyFont="1" applyBorder="1" applyAlignment="1">
      <alignment readingOrder="1"/>
    </xf>
    <xf numFmtId="0" fontId="13" fillId="0" borderId="2" xfId="0" applyFont="1" applyBorder="1" applyAlignment="1">
      <alignment readingOrder="1"/>
    </xf>
    <xf numFmtId="0" fontId="7" fillId="3" borderId="6" xfId="0" applyFont="1" applyFill="1" applyBorder="1" applyAlignment="1">
      <alignment vertical="center"/>
    </xf>
    <xf numFmtId="164" fontId="7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12" fillId="4" borderId="9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1" xfId="0" applyFont="1" applyFill="1" applyBorder="1"/>
    <xf numFmtId="0" fontId="7" fillId="5" borderId="0" xfId="0" applyFont="1" applyFill="1"/>
    <xf numFmtId="0" fontId="7" fillId="5" borderId="0" xfId="0" applyFont="1" applyFill="1" applyAlignment="1">
      <alignment horizontal="right"/>
    </xf>
    <xf numFmtId="166" fontId="7" fillId="5" borderId="0" xfId="0" applyNumberFormat="1" applyFont="1" applyFill="1"/>
    <xf numFmtId="166" fontId="7" fillId="5" borderId="4" xfId="0" applyNumberFormat="1" applyFont="1" applyFill="1" applyBorder="1"/>
    <xf numFmtId="0" fontId="7" fillId="5" borderId="6" xfId="0" applyFont="1" applyFill="1" applyBorder="1"/>
    <xf numFmtId="0" fontId="7" fillId="5" borderId="7" xfId="0" applyFont="1" applyFill="1" applyBorder="1"/>
    <xf numFmtId="0" fontId="7" fillId="5" borderId="7" xfId="0" applyFont="1" applyFill="1" applyBorder="1" applyAlignment="1">
      <alignment horizontal="right"/>
    </xf>
    <xf numFmtId="166" fontId="7" fillId="5" borderId="7" xfId="0" applyNumberFormat="1" applyFont="1" applyFill="1" applyBorder="1"/>
    <xf numFmtId="166" fontId="7" fillId="5" borderId="8" xfId="0" applyNumberFormat="1" applyFont="1" applyFill="1" applyBorder="1"/>
    <xf numFmtId="0" fontId="7" fillId="5" borderId="6" xfId="0" applyFont="1" applyFill="1" applyBorder="1" applyAlignment="1">
      <alignment vertical="center"/>
    </xf>
    <xf numFmtId="9" fontId="7" fillId="5" borderId="7" xfId="2" applyFont="1" applyFill="1" applyBorder="1" applyAlignment="1">
      <alignment horizontal="right" vertical="center"/>
    </xf>
    <xf numFmtId="9" fontId="7" fillId="5" borderId="7" xfId="2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0" xfId="2" applyFont="1" applyFill="1" applyBorder="1" applyAlignment="1">
      <alignment horizontal="right" vertical="center"/>
    </xf>
    <xf numFmtId="9" fontId="7" fillId="5" borderId="0" xfId="2" applyFont="1" applyFill="1" applyBorder="1" applyAlignment="1">
      <alignment vertical="center"/>
    </xf>
    <xf numFmtId="0" fontId="7" fillId="5" borderId="5" xfId="0" applyFont="1" applyFill="1" applyBorder="1" applyAlignment="1">
      <alignment horizontal="center"/>
    </xf>
    <xf numFmtId="166" fontId="11" fillId="5" borderId="7" xfId="0" applyNumberFormat="1" applyFont="1" applyFill="1" applyBorder="1"/>
    <xf numFmtId="166" fontId="11" fillId="5" borderId="8" xfId="0" applyNumberFormat="1" applyFont="1" applyFill="1" applyBorder="1"/>
    <xf numFmtId="0" fontId="7" fillId="5" borderId="10" xfId="0" applyFont="1" applyFill="1" applyBorder="1" applyAlignment="1">
      <alignment horizontal="center"/>
    </xf>
    <xf numFmtId="164" fontId="6" fillId="0" borderId="19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0" fontId="6" fillId="0" borderId="0" xfId="0" applyNumberFormat="1" applyFont="1"/>
    <xf numFmtId="164" fontId="6" fillId="0" borderId="19" xfId="1" applyNumberFormat="1" applyFont="1" applyBorder="1" applyAlignment="1">
      <alignment horizontal="center" vertical="center"/>
    </xf>
    <xf numFmtId="164" fontId="6" fillId="0" borderId="21" xfId="1" applyNumberFormat="1" applyFont="1" applyBorder="1" applyAlignment="1">
      <alignment vertical="center"/>
    </xf>
    <xf numFmtId="164" fontId="6" fillId="0" borderId="6" xfId="1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15" fillId="0" borderId="14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/>
    </xf>
    <xf numFmtId="0" fontId="7" fillId="3" borderId="19" xfId="0" applyFont="1" applyFill="1" applyBorder="1" applyAlignment="1">
      <alignment vertical="center"/>
    </xf>
    <xf numFmtId="164" fontId="7" fillId="3" borderId="19" xfId="0" applyNumberFormat="1" applyFont="1" applyFill="1" applyBorder="1" applyAlignment="1">
      <alignment vertical="center"/>
    </xf>
    <xf numFmtId="164" fontId="7" fillId="3" borderId="23" xfId="1" applyNumberFormat="1" applyFont="1" applyFill="1" applyBorder="1" applyAlignment="1">
      <alignment vertical="center"/>
    </xf>
    <xf numFmtId="0" fontId="14" fillId="0" borderId="11" xfId="0" applyFont="1" applyBorder="1" applyAlignment="1">
      <alignment vertical="center" wrapText="1"/>
    </xf>
    <xf numFmtId="164" fontId="6" fillId="0" borderId="23" xfId="1" applyNumberFormat="1" applyFont="1" applyBorder="1" applyAlignment="1">
      <alignment horizontal="right" vertical="center"/>
    </xf>
    <xf numFmtId="164" fontId="0" fillId="0" borderId="0" xfId="0" applyNumberFormat="1"/>
    <xf numFmtId="9" fontId="0" fillId="0" borderId="0" xfId="0" applyNumberFormat="1"/>
    <xf numFmtId="0" fontId="7" fillId="2" borderId="1" xfId="0" applyFont="1" applyFill="1" applyBorder="1"/>
    <xf numFmtId="0" fontId="7" fillId="2" borderId="1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19" xfId="0" applyFont="1" applyFill="1" applyBorder="1" applyAlignment="1">
      <alignment vertical="center"/>
    </xf>
    <xf numFmtId="0" fontId="18" fillId="8" borderId="0" xfId="0" applyFont="1" applyFill="1" applyAlignment="1">
      <alignment horizontal="center"/>
    </xf>
    <xf numFmtId="0" fontId="18" fillId="8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6" fillId="9" borderId="18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6" fillId="9" borderId="19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vertical="center"/>
    </xf>
    <xf numFmtId="0" fontId="19" fillId="6" borderId="10" xfId="0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6" fillId="0" borderId="15" xfId="1" applyNumberFormat="1" applyFont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164" fontId="6" fillId="0" borderId="19" xfId="1" applyNumberFormat="1" applyFont="1" applyBorder="1" applyAlignment="1">
      <alignment horizontal="right" vertical="center"/>
    </xf>
    <xf numFmtId="0" fontId="4" fillId="0" borderId="19" xfId="0" applyFont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164" fontId="6" fillId="0" borderId="22" xfId="1" applyNumberFormat="1" applyFont="1" applyBorder="1" applyAlignment="1">
      <alignment horizontal="right" vertical="center"/>
    </xf>
    <xf numFmtId="0" fontId="6" fillId="0" borderId="17" xfId="0" applyFont="1" applyBorder="1" applyAlignment="1">
      <alignment horizontal="center" vertical="center"/>
    </xf>
    <xf numFmtId="164" fontId="6" fillId="0" borderId="21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9" fillId="7" borderId="10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21" fillId="14" borderId="7" xfId="0" applyFont="1" applyFill="1" applyBorder="1" applyAlignment="1">
      <alignment vertical="center" wrapText="1"/>
    </xf>
    <xf numFmtId="0" fontId="22" fillId="0" borderId="0" xfId="0" applyFont="1" applyAlignment="1">
      <alignment horizontal="right"/>
    </xf>
    <xf numFmtId="0" fontId="24" fillId="0" borderId="0" xfId="0" applyFont="1"/>
    <xf numFmtId="0" fontId="2" fillId="0" borderId="0" xfId="0" applyFont="1"/>
    <xf numFmtId="0" fontId="25" fillId="0" borderId="0" xfId="0" applyFont="1"/>
    <xf numFmtId="15" fontId="25" fillId="0" borderId="0" xfId="0" applyNumberFormat="1" applyFont="1" applyAlignment="1">
      <alignment horizontal="left"/>
    </xf>
    <xf numFmtId="0" fontId="21" fillId="4" borderId="19" xfId="0" applyFont="1" applyFill="1" applyBorder="1" applyAlignment="1">
      <alignment horizontal="center"/>
    </xf>
    <xf numFmtId="0" fontId="21" fillId="4" borderId="14" xfId="0" applyFont="1" applyFill="1" applyBorder="1" applyAlignment="1">
      <alignment horizontal="center"/>
    </xf>
    <xf numFmtId="0" fontId="26" fillId="12" borderId="14" xfId="0" applyFont="1" applyFill="1" applyBorder="1" applyAlignment="1">
      <alignment horizontal="center"/>
    </xf>
    <xf numFmtId="0" fontId="22" fillId="5" borderId="22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1" fillId="4" borderId="21" xfId="0" applyFont="1" applyFill="1" applyBorder="1" applyAlignment="1">
      <alignment horizontal="center"/>
    </xf>
    <xf numFmtId="0" fontId="21" fillId="20" borderId="15" xfId="0" applyFont="1" applyFill="1" applyBorder="1" applyAlignment="1">
      <alignment vertical="center"/>
    </xf>
    <xf numFmtId="0" fontId="21" fillId="20" borderId="14" xfId="0" applyFont="1" applyFill="1" applyBorder="1" applyAlignment="1">
      <alignment vertical="center"/>
    </xf>
    <xf numFmtId="164" fontId="21" fillId="20" borderId="14" xfId="1" applyNumberFormat="1" applyFont="1" applyFill="1" applyBorder="1" applyAlignment="1">
      <alignment vertical="center"/>
    </xf>
    <xf numFmtId="164" fontId="21" fillId="20" borderId="14" xfId="0" applyNumberFormat="1" applyFont="1" applyFill="1" applyBorder="1" applyAlignment="1">
      <alignment vertical="center"/>
    </xf>
    <xf numFmtId="164" fontId="21" fillId="20" borderId="13" xfId="0" applyNumberFormat="1" applyFont="1" applyFill="1" applyBorder="1" applyAlignment="1">
      <alignment vertical="center"/>
    </xf>
    <xf numFmtId="164" fontId="21" fillId="20" borderId="15" xfId="1" applyNumberFormat="1" applyFont="1" applyFill="1" applyBorder="1" applyAlignment="1">
      <alignment vertical="center"/>
    </xf>
    <xf numFmtId="0" fontId="27" fillId="0" borderId="19" xfId="0" applyFont="1" applyBorder="1" applyAlignment="1">
      <alignment horizontal="center" vertical="center"/>
    </xf>
    <xf numFmtId="164" fontId="27" fillId="0" borderId="19" xfId="0" applyNumberFormat="1" applyFont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/>
    </xf>
    <xf numFmtId="0" fontId="21" fillId="19" borderId="15" xfId="0" applyFont="1" applyFill="1" applyBorder="1" applyAlignment="1">
      <alignment vertical="center"/>
    </xf>
    <xf numFmtId="0" fontId="21" fillId="19" borderId="14" xfId="0" applyFont="1" applyFill="1" applyBorder="1" applyAlignment="1">
      <alignment vertical="center"/>
    </xf>
    <xf numFmtId="164" fontId="21" fillId="19" borderId="14" xfId="1" applyNumberFormat="1" applyFont="1" applyFill="1" applyBorder="1" applyAlignment="1">
      <alignment vertical="center"/>
    </xf>
    <xf numFmtId="164" fontId="21" fillId="19" borderId="14" xfId="0" applyNumberFormat="1" applyFont="1" applyFill="1" applyBorder="1" applyAlignment="1">
      <alignment vertical="center"/>
    </xf>
    <xf numFmtId="164" fontId="21" fillId="19" borderId="13" xfId="0" applyNumberFormat="1" applyFont="1" applyFill="1" applyBorder="1" applyAlignment="1">
      <alignment vertical="center"/>
    </xf>
    <xf numFmtId="164" fontId="21" fillId="19" borderId="15" xfId="1" applyNumberFormat="1" applyFont="1" applyFill="1" applyBorder="1" applyAlignment="1">
      <alignment vertical="center"/>
    </xf>
    <xf numFmtId="0" fontId="14" fillId="11" borderId="26" xfId="0" applyFont="1" applyFill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/>
    </xf>
    <xf numFmtId="0" fontId="14" fillId="11" borderId="28" xfId="0" applyFont="1" applyFill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164" fontId="27" fillId="0" borderId="15" xfId="0" applyNumberFormat="1" applyFont="1" applyBorder="1" applyAlignment="1">
      <alignment horizontal="center" vertical="center"/>
    </xf>
    <xf numFmtId="0" fontId="26" fillId="15" borderId="13" xfId="0" applyFont="1" applyFill="1" applyBorder="1" applyAlignment="1">
      <alignment horizontal="left" vertical="center"/>
    </xf>
    <xf numFmtId="0" fontId="26" fillId="15" borderId="13" xfId="0" applyFont="1" applyFill="1" applyBorder="1" applyAlignment="1">
      <alignment horizontal="center" vertical="center"/>
    </xf>
    <xf numFmtId="0" fontId="26" fillId="15" borderId="14" xfId="0" applyFont="1" applyFill="1" applyBorder="1" applyAlignment="1">
      <alignment vertical="center"/>
    </xf>
    <xf numFmtId="164" fontId="26" fillId="15" borderId="14" xfId="1" applyNumberFormat="1" applyFont="1" applyFill="1" applyBorder="1" applyAlignment="1">
      <alignment vertical="center"/>
    </xf>
    <xf numFmtId="0" fontId="26" fillId="15" borderId="19" xfId="0" applyFont="1" applyFill="1" applyBorder="1" applyAlignment="1">
      <alignment vertical="center"/>
    </xf>
    <xf numFmtId="164" fontId="26" fillId="15" borderId="14" xfId="0" applyNumberFormat="1" applyFont="1" applyFill="1" applyBorder="1" applyAlignment="1">
      <alignment vertical="center"/>
    </xf>
    <xf numFmtId="164" fontId="26" fillId="16" borderId="0" xfId="1" applyNumberFormat="1" applyFont="1" applyFill="1" applyBorder="1" applyAlignment="1">
      <alignment vertical="center"/>
    </xf>
    <xf numFmtId="0" fontId="26" fillId="16" borderId="17" xfId="0" applyFont="1" applyFill="1" applyBorder="1" applyAlignment="1">
      <alignment vertical="center"/>
    </xf>
    <xf numFmtId="164" fontId="26" fillId="16" borderId="0" xfId="0" applyNumberFormat="1" applyFont="1" applyFill="1" applyAlignment="1">
      <alignment vertical="center"/>
    </xf>
    <xf numFmtId="0" fontId="22" fillId="3" borderId="16" xfId="0" applyFont="1" applyFill="1" applyBorder="1" applyAlignment="1">
      <alignment vertical="center"/>
    </xf>
    <xf numFmtId="0" fontId="22" fillId="3" borderId="14" xfId="0" applyFont="1" applyFill="1" applyBorder="1" applyAlignment="1">
      <alignment vertical="center"/>
    </xf>
    <xf numFmtId="0" fontId="22" fillId="3" borderId="0" xfId="0" applyFont="1" applyFill="1" applyAlignment="1">
      <alignment vertical="center"/>
    </xf>
    <xf numFmtId="164" fontId="22" fillId="3" borderId="0" xfId="1" applyNumberFormat="1" applyFont="1" applyFill="1" applyBorder="1" applyAlignment="1">
      <alignment vertical="center"/>
    </xf>
    <xf numFmtId="164" fontId="22" fillId="3" borderId="0" xfId="0" applyNumberFormat="1" applyFont="1" applyFill="1" applyAlignment="1">
      <alignment vertical="center"/>
    </xf>
    <xf numFmtId="164" fontId="22" fillId="3" borderId="2" xfId="0" applyNumberFormat="1" applyFont="1" applyFill="1" applyBorder="1" applyAlignment="1">
      <alignment vertical="center"/>
    </xf>
    <xf numFmtId="164" fontId="22" fillId="3" borderId="16" xfId="1" applyNumberFormat="1" applyFont="1" applyFill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8" fillId="0" borderId="13" xfId="0" applyFont="1" applyBorder="1" applyAlignment="1">
      <alignment readingOrder="1"/>
    </xf>
    <xf numFmtId="0" fontId="28" fillId="0" borderId="2" xfId="0" applyFont="1" applyBorder="1" applyAlignment="1">
      <alignment readingOrder="1"/>
    </xf>
    <xf numFmtId="0" fontId="24" fillId="0" borderId="17" xfId="0" applyFont="1" applyBorder="1" applyAlignment="1">
      <alignment horizontal="center" vertical="center"/>
    </xf>
    <xf numFmtId="0" fontId="24" fillId="5" borderId="16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 wrapText="1"/>
    </xf>
    <xf numFmtId="49" fontId="21" fillId="14" borderId="5" xfId="0" applyNumberFormat="1" applyFont="1" applyFill="1" applyBorder="1" applyAlignment="1">
      <alignment horizontal="left" vertical="center" wrapText="1"/>
    </xf>
    <xf numFmtId="0" fontId="21" fillId="14" borderId="17" xfId="0" applyFont="1" applyFill="1" applyBorder="1" applyAlignment="1">
      <alignment horizontal="center" vertical="center"/>
    </xf>
    <xf numFmtId="164" fontId="23" fillId="14" borderId="7" xfId="1" applyNumberFormat="1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 wrapText="1"/>
    </xf>
    <xf numFmtId="164" fontId="21" fillId="14" borderId="5" xfId="0" applyNumberFormat="1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vertical="center" wrapText="1"/>
    </xf>
    <xf numFmtId="0" fontId="22" fillId="5" borderId="0" xfId="0" applyFont="1" applyFill="1"/>
    <xf numFmtId="9" fontId="22" fillId="5" borderId="0" xfId="2" applyFont="1" applyFill="1" applyBorder="1" applyAlignment="1">
      <alignment vertical="center"/>
    </xf>
    <xf numFmtId="0" fontId="21" fillId="14" borderId="5" xfId="0" applyFont="1" applyFill="1" applyBorder="1" applyAlignment="1">
      <alignment horizontal="left"/>
    </xf>
    <xf numFmtId="0" fontId="21" fillId="14" borderId="17" xfId="0" applyFont="1" applyFill="1" applyBorder="1" applyAlignment="1">
      <alignment vertical="center"/>
    </xf>
    <xf numFmtId="0" fontId="21" fillId="14" borderId="7" xfId="0" applyFont="1" applyFill="1" applyBorder="1"/>
    <xf numFmtId="0" fontId="21" fillId="14" borderId="7" xfId="0" applyFont="1" applyFill="1" applyBorder="1" applyAlignment="1">
      <alignment horizontal="right"/>
    </xf>
    <xf numFmtId="164" fontId="21" fillId="14" borderId="17" xfId="0" applyNumberFormat="1" applyFont="1" applyFill="1" applyBorder="1" applyAlignment="1">
      <alignment horizontal="center" vertical="center"/>
    </xf>
    <xf numFmtId="0" fontId="21" fillId="12" borderId="0" xfId="0" applyFont="1" applyFill="1" applyAlignment="1">
      <alignment horizontal="left"/>
    </xf>
    <xf numFmtId="0" fontId="21" fillId="12" borderId="16" xfId="0" applyFont="1" applyFill="1" applyBorder="1"/>
    <xf numFmtId="0" fontId="21" fillId="12" borderId="0" xfId="0" applyFont="1" applyFill="1"/>
    <xf numFmtId="164" fontId="21" fillId="12" borderId="0" xfId="0" applyNumberFormat="1" applyFont="1" applyFill="1"/>
    <xf numFmtId="0" fontId="24" fillId="17" borderId="29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2" fillId="5" borderId="14" xfId="0" applyFont="1" applyFill="1" applyBorder="1" applyAlignment="1">
      <alignment horizontal="center"/>
    </xf>
    <xf numFmtId="0" fontId="0" fillId="0" borderId="0" xfId="0" quotePrefix="1"/>
    <xf numFmtId="164" fontId="0" fillId="10" borderId="19" xfId="0" applyNumberFormat="1" applyFill="1" applyBorder="1" applyAlignment="1">
      <alignment horizontal="center" vertical="center"/>
    </xf>
    <xf numFmtId="0" fontId="24" fillId="0" borderId="15" xfId="0" applyFont="1" applyBorder="1" applyAlignment="1">
      <alignment vertical="center" wrapText="1"/>
    </xf>
    <xf numFmtId="0" fontId="26" fillId="16" borderId="2" xfId="0" applyFont="1" applyFill="1" applyBorder="1" applyAlignment="1">
      <alignment horizontal="center" vertical="center"/>
    </xf>
    <xf numFmtId="0" fontId="26" fillId="16" borderId="0" xfId="0" applyFont="1" applyFill="1" applyAlignment="1">
      <alignment vertical="center"/>
    </xf>
    <xf numFmtId="0" fontId="26" fillId="16" borderId="2" xfId="0" applyFont="1" applyFill="1" applyBorder="1" applyAlignment="1">
      <alignment horizontal="left" vertical="center"/>
    </xf>
    <xf numFmtId="0" fontId="0" fillId="0" borderId="27" xfId="0" applyBorder="1" applyAlignment="1">
      <alignment horizontal="center" vertical="center" wrapText="1"/>
    </xf>
    <xf numFmtId="0" fontId="6" fillId="17" borderId="29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18" borderId="26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 wrapText="1"/>
    </xf>
    <xf numFmtId="0" fontId="24" fillId="17" borderId="35" xfId="0" applyFont="1" applyFill="1" applyBorder="1" applyAlignment="1">
      <alignment horizontal="center" vertical="center" wrapText="1"/>
    </xf>
    <xf numFmtId="0" fontId="6" fillId="22" borderId="29" xfId="0" applyFont="1" applyFill="1" applyBorder="1" applyAlignment="1">
      <alignment horizontal="center" vertical="center" wrapText="1"/>
    </xf>
    <xf numFmtId="164" fontId="21" fillId="14" borderId="17" xfId="1" applyNumberFormat="1" applyFont="1" applyFill="1" applyBorder="1" applyAlignment="1">
      <alignment vertical="center"/>
    </xf>
    <xf numFmtId="0" fontId="29" fillId="0" borderId="9" xfId="0" applyFont="1" applyBorder="1" applyAlignment="1">
      <alignment vertical="center" wrapText="1"/>
    </xf>
    <xf numFmtId="0" fontId="29" fillId="0" borderId="26" xfId="0" applyFont="1" applyBorder="1" applyAlignment="1">
      <alignment vertical="center" wrapText="1"/>
    </xf>
    <xf numFmtId="164" fontId="0" fillId="23" borderId="19" xfId="0" applyNumberFormat="1" applyFill="1" applyBorder="1" applyAlignment="1">
      <alignment horizontal="center" vertical="center"/>
    </xf>
    <xf numFmtId="164" fontId="0" fillId="23" borderId="26" xfId="0" applyNumberFormat="1" applyFill="1" applyBorder="1" applyAlignment="1">
      <alignment horizontal="center" vertical="center"/>
    </xf>
    <xf numFmtId="164" fontId="0" fillId="23" borderId="29" xfId="0" applyNumberForma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/>
    </xf>
    <xf numFmtId="0" fontId="33" fillId="0" borderId="28" xfId="0" applyFont="1" applyBorder="1" applyAlignment="1">
      <alignment vertical="center" wrapText="1"/>
    </xf>
    <xf numFmtId="0" fontId="24" fillId="11" borderId="26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13" borderId="19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24" fillId="13" borderId="19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19" xfId="0" applyFont="1" applyBorder="1" applyAlignment="1">
      <alignment horizontal="center" vertical="center"/>
    </xf>
    <xf numFmtId="164" fontId="1" fillId="10" borderId="14" xfId="0" applyNumberFormat="1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10" borderId="19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17" borderId="29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18" borderId="26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164" fontId="1" fillId="0" borderId="12" xfId="0" applyNumberFormat="1" applyFont="1" applyBorder="1" applyAlignment="1">
      <alignment horizontal="center" vertical="center"/>
    </xf>
    <xf numFmtId="164" fontId="1" fillId="10" borderId="12" xfId="0" applyNumberFormat="1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18" borderId="19" xfId="0" applyFont="1" applyFill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164" fontId="1" fillId="0" borderId="34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vertical="center" wrapText="1"/>
    </xf>
    <xf numFmtId="164" fontId="1" fillId="0" borderId="15" xfId="1" applyNumberFormat="1" applyFont="1" applyBorder="1" applyAlignment="1">
      <alignment horizontal="right" vertical="center" wrapText="1"/>
    </xf>
    <xf numFmtId="0" fontId="1" fillId="0" borderId="15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5" xfId="1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 wrapText="1"/>
    </xf>
    <xf numFmtId="164" fontId="1" fillId="0" borderId="17" xfId="1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6" xfId="1" applyNumberFormat="1" applyFont="1" applyBorder="1" applyAlignment="1">
      <alignment vertical="center"/>
    </xf>
    <xf numFmtId="164" fontId="1" fillId="0" borderId="16" xfId="1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6" xfId="1" applyNumberFormat="1" applyFont="1" applyBorder="1" applyAlignment="1">
      <alignment horizontal="righ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17" xfId="1" applyNumberFormat="1" applyFont="1" applyBorder="1" applyAlignment="1">
      <alignment vertical="center"/>
    </xf>
    <xf numFmtId="49" fontId="1" fillId="5" borderId="2" xfId="0" applyNumberFormat="1" applyFont="1" applyFill="1" applyBorder="1" applyAlignment="1">
      <alignment horizontal="left" vertical="center" wrapText="1"/>
    </xf>
    <xf numFmtId="164" fontId="1" fillId="5" borderId="0" xfId="1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16" xfId="1" applyNumberFormat="1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9" fontId="1" fillId="5" borderId="0" xfId="2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left"/>
    </xf>
    <xf numFmtId="0" fontId="1" fillId="5" borderId="16" xfId="0" applyFont="1" applyFill="1" applyBorder="1"/>
    <xf numFmtId="0" fontId="1" fillId="5" borderId="0" xfId="0" applyFont="1" applyFill="1"/>
    <xf numFmtId="0" fontId="1" fillId="5" borderId="0" xfId="0" applyFont="1" applyFill="1" applyAlignment="1">
      <alignment horizontal="right"/>
    </xf>
    <xf numFmtId="164" fontId="1" fillId="5" borderId="16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vertical="center"/>
    </xf>
    <xf numFmtId="9" fontId="1" fillId="5" borderId="0" xfId="2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23" borderId="19" xfId="0" applyNumberFormat="1" applyFont="1" applyFill="1" applyBorder="1" applyAlignment="1">
      <alignment horizontal="center" vertical="center"/>
    </xf>
    <xf numFmtId="164" fontId="1" fillId="23" borderId="17" xfId="0" applyNumberFormat="1" applyFont="1" applyFill="1" applyBorder="1" applyAlignment="1">
      <alignment horizontal="center" vertical="center"/>
    </xf>
    <xf numFmtId="164" fontId="1" fillId="23" borderId="30" xfId="0" applyNumberFormat="1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AAF6FA"/>
      <color rgb="FFFFFF99"/>
      <color rgb="FF009900"/>
      <color rgb="FF3366FF"/>
      <color rgb="FFC4D79B"/>
      <color rgb="FFCC7E7E"/>
      <color rgb="FFFFCCFF"/>
      <color rgb="FF5091C2"/>
      <color rgb="FFE2E2E2"/>
      <color rgb="FFE7E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2171700</xdr:colOff>
      <xdr:row>0</xdr:row>
      <xdr:rowOff>-3476625</xdr:rowOff>
    </xdr:from>
    <xdr:to>
      <xdr:col>3</xdr:col>
      <xdr:colOff>2171700</xdr:colOff>
      <xdr:row>0</xdr:row>
      <xdr:rowOff>-3476625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63888-B854-1C14-33EC-2785771A9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-3476625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2171700</xdr:colOff>
      <xdr:row>0</xdr:row>
      <xdr:rowOff>-3476625</xdr:rowOff>
    </xdr:from>
    <xdr:to>
      <xdr:col>3</xdr:col>
      <xdr:colOff>2171700</xdr:colOff>
      <xdr:row>0</xdr:row>
      <xdr:rowOff>-3476625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CF8D5-8B89-4FF3-9AE5-E58905182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-3476625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drpanthitaphuketpediatric" TargetMode="External"/><Relationship Id="rId13" Type="http://schemas.openxmlformats.org/officeDocument/2006/relationships/hyperlink" Target="https://www.youtube.com/@PapueanSkulthai" TargetMode="External"/><Relationship Id="rId3" Type="http://schemas.openxmlformats.org/officeDocument/2006/relationships/hyperlink" Target="https://www.youtube.com/@BeamOilChannel" TargetMode="External"/><Relationship Id="rId7" Type="http://schemas.openxmlformats.org/officeDocument/2006/relationships/hyperlink" Target="https://www.youtube.com/@family_journey" TargetMode="External"/><Relationship Id="rId12" Type="http://schemas.openxmlformats.org/officeDocument/2006/relationships/hyperlink" Target="https://www.youtube.com/@DueArisara" TargetMode="External"/><Relationship Id="rId2" Type="http://schemas.openxmlformats.org/officeDocument/2006/relationships/hyperlink" Target="https://www.youtube.com/@praew2183" TargetMode="External"/><Relationship Id="rId1" Type="http://schemas.openxmlformats.org/officeDocument/2006/relationships/hyperlink" Target="https://www.youtube.com/@LydiaSarunratDeane" TargetMode="External"/><Relationship Id="rId6" Type="http://schemas.openxmlformats.org/officeDocument/2006/relationships/hyperlink" Target="https://www.youtube.com/@icepadie" TargetMode="External"/><Relationship Id="rId11" Type="http://schemas.openxmlformats.org/officeDocument/2006/relationships/hyperlink" Target="https://www.youtube.com/@MewNitthaJirayungyurn" TargetMode="External"/><Relationship Id="rId5" Type="http://schemas.openxmlformats.org/officeDocument/2006/relationships/hyperlink" Target="https://www.youtube.com/@KatherynLee" TargetMode="External"/><Relationship Id="rId15" Type="http://schemas.openxmlformats.org/officeDocument/2006/relationships/hyperlink" Target="https://www.youtube.com/@vavyrock" TargetMode="External"/><Relationship Id="rId10" Type="http://schemas.openxmlformats.org/officeDocument/2006/relationships/hyperlink" Target="https://www.youtube.com/@Mindset_TV" TargetMode="External"/><Relationship Id="rId4" Type="http://schemas.openxmlformats.org/officeDocument/2006/relationships/hyperlink" Target="https://www.youtube.com/@NewChaiyapol" TargetMode="External"/><Relationship Id="rId9" Type="http://schemas.openxmlformats.org/officeDocument/2006/relationships/hyperlink" Target="https://www.youtube.com/@kankantathavorn" TargetMode="External"/><Relationship Id="rId14" Type="http://schemas.openxmlformats.org/officeDocument/2006/relationships/hyperlink" Target="https://www.youtube.com/@pantipa.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9A04-E53C-419A-9892-20F8D9C7EBD3}">
  <sheetPr>
    <pageSetUpPr fitToPage="1"/>
  </sheetPr>
  <dimension ref="B1:N61"/>
  <sheetViews>
    <sheetView tabSelected="1" workbookViewId="0">
      <pane ySplit="5" topLeftCell="D29" activePane="bottomLeft" state="frozen"/>
      <selection pane="bottomLeft" activeCell="Q53" sqref="Q53"/>
    </sheetView>
  </sheetViews>
  <sheetFormatPr defaultRowHeight="14.45"/>
  <cols>
    <col min="2" max="2" width="23.140625" style="146" customWidth="1"/>
    <col min="3" max="3" width="21.42578125" style="146" customWidth="1"/>
    <col min="4" max="4" width="108.85546875" style="146" customWidth="1"/>
    <col min="5" max="5" width="19.7109375" style="146" customWidth="1"/>
    <col min="6" max="8" width="14.140625" style="146" customWidth="1"/>
    <col min="9" max="9" width="18.7109375" style="146" customWidth="1"/>
    <col min="10" max="10" width="15.140625" style="146" customWidth="1"/>
    <col min="11" max="12" width="16.42578125" style="146" customWidth="1"/>
    <col min="13" max="13" width="14.85546875" style="146" customWidth="1"/>
    <col min="14" max="14" width="14.5703125" customWidth="1"/>
    <col min="15" max="15" width="9.42578125" bestFit="1" customWidth="1"/>
  </cols>
  <sheetData>
    <row r="1" spans="2:13">
      <c r="B1" s="263"/>
      <c r="C1" s="144" t="s">
        <v>0</v>
      </c>
      <c r="D1" s="145" t="s">
        <v>1</v>
      </c>
      <c r="E1" s="264"/>
      <c r="F1" s="265"/>
      <c r="G1" s="265"/>
      <c r="H1" s="265"/>
      <c r="I1" s="265"/>
      <c r="J1" s="265"/>
      <c r="K1" s="265"/>
      <c r="L1" s="265"/>
      <c r="M1" s="265"/>
    </row>
    <row r="2" spans="2:13">
      <c r="B2" s="263"/>
      <c r="C2" s="144" t="s">
        <v>2</v>
      </c>
      <c r="D2" s="265" t="s">
        <v>3</v>
      </c>
      <c r="E2" s="264"/>
      <c r="F2" s="265"/>
      <c r="G2" s="265"/>
      <c r="H2" s="265"/>
      <c r="I2" s="265"/>
      <c r="J2" s="265"/>
      <c r="K2" s="265"/>
      <c r="L2" s="265"/>
      <c r="M2" s="265"/>
    </row>
    <row r="3" spans="2:13">
      <c r="B3" s="263"/>
      <c r="C3" s="144" t="s">
        <v>4</v>
      </c>
      <c r="D3" s="147" t="s">
        <v>5</v>
      </c>
      <c r="E3" s="264"/>
      <c r="F3" s="265"/>
      <c r="G3" s="265"/>
      <c r="H3" s="265"/>
      <c r="I3" s="265"/>
      <c r="J3" s="265"/>
      <c r="K3" s="265"/>
      <c r="L3" s="265"/>
      <c r="M3" s="265"/>
    </row>
    <row r="4" spans="2:13">
      <c r="B4" s="263"/>
      <c r="C4" s="144" t="s">
        <v>6</v>
      </c>
      <c r="D4" s="148" t="s">
        <v>7</v>
      </c>
      <c r="E4" s="264"/>
      <c r="F4" s="265"/>
      <c r="G4" s="265"/>
      <c r="H4" s="265"/>
      <c r="I4" s="265"/>
      <c r="J4" s="265"/>
      <c r="K4" s="265"/>
      <c r="L4" s="265"/>
      <c r="M4" s="265"/>
    </row>
    <row r="5" spans="2:13">
      <c r="B5" s="263"/>
      <c r="C5" s="265"/>
      <c r="D5" s="265"/>
      <c r="E5" s="264"/>
      <c r="F5" s="265"/>
      <c r="G5" s="265"/>
      <c r="H5" s="265"/>
      <c r="I5" s="265"/>
      <c r="J5" s="265"/>
      <c r="K5" s="265"/>
      <c r="L5" s="265"/>
      <c r="M5" s="265"/>
    </row>
    <row r="6" spans="2:13">
      <c r="B6" s="149"/>
      <c r="C6" s="150" t="s">
        <v>8</v>
      </c>
      <c r="D6" s="150" t="s">
        <v>9</v>
      </c>
      <c r="E6" s="151" t="s">
        <v>10</v>
      </c>
      <c r="F6" s="151" t="s">
        <v>11</v>
      </c>
      <c r="G6" s="151" t="s">
        <v>12</v>
      </c>
      <c r="H6" s="151" t="s">
        <v>11</v>
      </c>
      <c r="I6" s="150" t="s">
        <v>13</v>
      </c>
      <c r="J6" s="152" t="s">
        <v>14</v>
      </c>
      <c r="K6" s="153" t="s">
        <v>15</v>
      </c>
      <c r="L6" s="220" t="s">
        <v>16</v>
      </c>
      <c r="M6" s="154" t="s">
        <v>17</v>
      </c>
    </row>
    <row r="7" spans="2:13">
      <c r="B7" s="155" t="s">
        <v>18</v>
      </c>
      <c r="C7" s="156"/>
      <c r="D7" s="156"/>
      <c r="E7" s="157"/>
      <c r="F7" s="156"/>
      <c r="G7" s="156"/>
      <c r="H7" s="156"/>
      <c r="I7" s="156"/>
      <c r="J7" s="158"/>
      <c r="K7" s="159"/>
      <c r="L7" s="159"/>
      <c r="M7" s="160"/>
    </row>
    <row r="8" spans="2:13" ht="18.75" customHeight="1">
      <c r="B8" s="259" t="s">
        <v>19</v>
      </c>
      <c r="C8" s="266" t="s">
        <v>20</v>
      </c>
      <c r="D8" s="260" t="s">
        <v>21</v>
      </c>
      <c r="E8" s="267">
        <f>M8/G8</f>
        <v>500000</v>
      </c>
      <c r="F8" s="268" t="s">
        <v>22</v>
      </c>
      <c r="G8" s="269">
        <v>2.5000000000000001E-2</v>
      </c>
      <c r="H8" s="266" t="s">
        <v>23</v>
      </c>
      <c r="I8" s="262" t="s">
        <v>24</v>
      </c>
      <c r="J8" s="270">
        <v>12500</v>
      </c>
      <c r="K8" s="163"/>
      <c r="L8" s="163"/>
      <c r="M8" s="271">
        <f t="shared" ref="M8:M13" si="0">SUM(J8:K8)</f>
        <v>12500</v>
      </c>
    </row>
    <row r="9" spans="2:13" ht="18.75" customHeight="1">
      <c r="B9" s="259"/>
      <c r="C9" s="266" t="s">
        <v>25</v>
      </c>
      <c r="D9" s="260"/>
      <c r="E9" s="267">
        <f>M9/G9</f>
        <v>2000</v>
      </c>
      <c r="F9" s="268" t="s">
        <v>26</v>
      </c>
      <c r="G9" s="269">
        <v>5</v>
      </c>
      <c r="H9" s="266" t="s">
        <v>27</v>
      </c>
      <c r="I9" s="262"/>
      <c r="J9" s="270">
        <v>10000</v>
      </c>
      <c r="K9" s="163"/>
      <c r="L9" s="163"/>
      <c r="M9" s="271">
        <f t="shared" si="0"/>
        <v>10000</v>
      </c>
    </row>
    <row r="10" spans="2:13" ht="18.75" customHeight="1">
      <c r="B10" s="261" t="s">
        <v>28</v>
      </c>
      <c r="C10" s="266" t="s">
        <v>20</v>
      </c>
      <c r="D10" s="260"/>
      <c r="E10" s="267">
        <f>M10/G10</f>
        <v>1000000</v>
      </c>
      <c r="F10" s="268" t="s">
        <v>22</v>
      </c>
      <c r="G10" s="269">
        <v>2.5000000000000001E-2</v>
      </c>
      <c r="H10" s="266" t="s">
        <v>23</v>
      </c>
      <c r="I10" s="262" t="s">
        <v>29</v>
      </c>
      <c r="J10" s="270">
        <v>25000</v>
      </c>
      <c r="K10" s="163"/>
      <c r="L10" s="163"/>
      <c r="M10" s="271">
        <f t="shared" si="0"/>
        <v>25000</v>
      </c>
    </row>
    <row r="11" spans="2:13" ht="18.75" customHeight="1">
      <c r="B11" s="261"/>
      <c r="C11" s="266" t="s">
        <v>25</v>
      </c>
      <c r="D11" s="260"/>
      <c r="E11" s="267">
        <f t="shared" ref="E11" si="1">M11/G11</f>
        <v>2000</v>
      </c>
      <c r="F11" s="268" t="s">
        <v>26</v>
      </c>
      <c r="G11" s="269">
        <v>5</v>
      </c>
      <c r="H11" s="266" t="s">
        <v>27</v>
      </c>
      <c r="I11" s="262"/>
      <c r="J11" s="270">
        <v>10000</v>
      </c>
      <c r="K11" s="163"/>
      <c r="L11" s="163"/>
      <c r="M11" s="271">
        <f t="shared" si="0"/>
        <v>10000</v>
      </c>
    </row>
    <row r="12" spans="2:13" ht="18.75" customHeight="1">
      <c r="B12" s="261" t="s">
        <v>30</v>
      </c>
      <c r="C12" s="266" t="s">
        <v>20</v>
      </c>
      <c r="D12" s="260"/>
      <c r="E12" s="267">
        <f>M12/G12</f>
        <v>1000000</v>
      </c>
      <c r="F12" s="268" t="s">
        <v>22</v>
      </c>
      <c r="G12" s="269">
        <v>2.5000000000000001E-2</v>
      </c>
      <c r="H12" s="266" t="s">
        <v>23</v>
      </c>
      <c r="I12" s="262" t="s">
        <v>31</v>
      </c>
      <c r="J12" s="270">
        <v>25000</v>
      </c>
      <c r="K12" s="163"/>
      <c r="L12" s="163"/>
      <c r="M12" s="271">
        <f t="shared" si="0"/>
        <v>25000</v>
      </c>
    </row>
    <row r="13" spans="2:13" ht="18.75" customHeight="1">
      <c r="B13" s="261"/>
      <c r="C13" s="266" t="s">
        <v>25</v>
      </c>
      <c r="D13" s="260"/>
      <c r="E13" s="267">
        <f t="shared" ref="E13" si="2">M13/G13</f>
        <v>2000</v>
      </c>
      <c r="F13" s="268" t="s">
        <v>26</v>
      </c>
      <c r="G13" s="269">
        <v>5</v>
      </c>
      <c r="H13" s="266" t="s">
        <v>27</v>
      </c>
      <c r="I13" s="262"/>
      <c r="J13" s="270">
        <v>10000</v>
      </c>
      <c r="K13" s="163"/>
      <c r="L13" s="163"/>
      <c r="M13" s="271">
        <f t="shared" si="0"/>
        <v>10000</v>
      </c>
    </row>
    <row r="14" spans="2:13">
      <c r="B14" s="164" t="s">
        <v>32</v>
      </c>
      <c r="C14" s="165"/>
      <c r="D14" s="165"/>
      <c r="E14" s="166"/>
      <c r="F14" s="165"/>
      <c r="G14" s="165"/>
      <c r="H14" s="165"/>
      <c r="I14" s="165"/>
      <c r="J14" s="167"/>
      <c r="K14" s="168"/>
      <c r="L14" s="168"/>
      <c r="M14" s="169"/>
    </row>
    <row r="15" spans="2:13" ht="81" customHeight="1">
      <c r="B15" s="251" t="s">
        <v>33</v>
      </c>
      <c r="C15" s="272" t="s">
        <v>34</v>
      </c>
      <c r="D15" s="252" t="s">
        <v>35</v>
      </c>
      <c r="E15" s="271">
        <f>M15/G15</f>
        <v>1500000</v>
      </c>
      <c r="F15" s="273" t="s">
        <v>36</v>
      </c>
      <c r="G15" s="273">
        <v>0.23</v>
      </c>
      <c r="H15" s="266" t="s">
        <v>37</v>
      </c>
      <c r="I15" s="266" t="s">
        <v>38</v>
      </c>
      <c r="J15" s="270">
        <v>190000</v>
      </c>
      <c r="K15" s="270">
        <v>155000</v>
      </c>
      <c r="L15" s="270"/>
      <c r="M15" s="271">
        <f>SUM(J15:K15)</f>
        <v>345000</v>
      </c>
    </row>
    <row r="16" spans="2:13" ht="120" customHeight="1">
      <c r="B16" s="253" t="s">
        <v>33</v>
      </c>
      <c r="C16" s="274" t="s">
        <v>39</v>
      </c>
      <c r="D16" s="138" t="s">
        <v>40</v>
      </c>
      <c r="E16" s="271">
        <f>M16/G16</f>
        <v>1500000</v>
      </c>
      <c r="F16" s="273" t="s">
        <v>36</v>
      </c>
      <c r="G16" s="273">
        <v>0.35</v>
      </c>
      <c r="H16" s="275" t="s">
        <v>37</v>
      </c>
      <c r="I16" s="266" t="s">
        <v>38</v>
      </c>
      <c r="J16" s="276">
        <v>280000</v>
      </c>
      <c r="K16" s="270">
        <v>245000</v>
      </c>
      <c r="L16" s="270"/>
      <c r="M16" s="271">
        <f>SUM(J16:K16)</f>
        <v>525000</v>
      </c>
    </row>
    <row r="17" spans="2:14" ht="16.5" customHeight="1">
      <c r="B17" s="176" t="s">
        <v>41</v>
      </c>
      <c r="C17" s="177"/>
      <c r="D17" s="178"/>
      <c r="E17" s="179"/>
      <c r="F17" s="178"/>
      <c r="G17" s="180"/>
      <c r="H17" s="178"/>
      <c r="I17" s="178"/>
      <c r="J17" s="178"/>
      <c r="K17" s="181"/>
      <c r="L17" s="181"/>
      <c r="M17" s="181"/>
    </row>
    <row r="18" spans="2:14" ht="80.25" customHeight="1">
      <c r="B18" s="217" t="s">
        <v>42</v>
      </c>
      <c r="C18" s="277" t="s">
        <v>43</v>
      </c>
      <c r="D18" s="218" t="s">
        <v>44</v>
      </c>
      <c r="E18" s="278">
        <f>M18/G18*1000</f>
        <v>12894736.842105264</v>
      </c>
      <c r="F18" s="279" t="s">
        <v>45</v>
      </c>
      <c r="G18" s="280">
        <v>38</v>
      </c>
      <c r="H18" s="281" t="s">
        <v>46</v>
      </c>
      <c r="I18" s="245" t="s">
        <v>47</v>
      </c>
      <c r="J18" s="282">
        <v>490000</v>
      </c>
      <c r="K18" s="276"/>
      <c r="L18" s="283"/>
      <c r="M18" s="222">
        <f t="shared" ref="M18:M23" si="3">SUM(J18:L18)</f>
        <v>490000</v>
      </c>
    </row>
    <row r="19" spans="2:14" ht="80.25" customHeight="1">
      <c r="B19" s="284" t="s">
        <v>42</v>
      </c>
      <c r="C19" s="227" t="s">
        <v>48</v>
      </c>
      <c r="D19" s="218" t="s">
        <v>44</v>
      </c>
      <c r="E19" s="278">
        <f>M19/G19*1000</f>
        <v>12894736.842105264</v>
      </c>
      <c r="F19" s="279" t="s">
        <v>45</v>
      </c>
      <c r="G19" s="280">
        <v>38</v>
      </c>
      <c r="H19" s="281" t="s">
        <v>46</v>
      </c>
      <c r="I19" s="246" t="s">
        <v>49</v>
      </c>
      <c r="J19" s="270"/>
      <c r="K19" s="270">
        <v>490000</v>
      </c>
      <c r="L19" s="270"/>
      <c r="M19" s="222">
        <f>SUM(J19:L19)</f>
        <v>490000</v>
      </c>
    </row>
    <row r="20" spans="2:14" ht="67.5" customHeight="1">
      <c r="B20" s="228" t="s">
        <v>42</v>
      </c>
      <c r="C20" s="229" t="s">
        <v>50</v>
      </c>
      <c r="D20" s="218" t="s">
        <v>51</v>
      </c>
      <c r="E20" s="278">
        <f>M20/G20</f>
        <v>3500000</v>
      </c>
      <c r="F20" s="279" t="s">
        <v>36</v>
      </c>
      <c r="G20" s="280">
        <v>0.2</v>
      </c>
      <c r="H20" s="281" t="s">
        <v>37</v>
      </c>
      <c r="I20" s="246" t="s">
        <v>52</v>
      </c>
      <c r="J20" s="270"/>
      <c r="K20" s="230">
        <v>700000</v>
      </c>
      <c r="L20" s="230"/>
      <c r="M20" s="222">
        <f t="shared" si="3"/>
        <v>700000</v>
      </c>
      <c r="N20" s="221"/>
    </row>
    <row r="21" spans="2:14" ht="134.25" customHeight="1">
      <c r="B21" s="217" t="s">
        <v>53</v>
      </c>
      <c r="C21" s="285" t="s">
        <v>54</v>
      </c>
      <c r="D21" s="219" t="s">
        <v>55</v>
      </c>
      <c r="E21" s="278">
        <f t="shared" ref="E21:E22" si="4">M21/G21*1000</f>
        <v>3000000</v>
      </c>
      <c r="F21" s="279" t="s">
        <v>45</v>
      </c>
      <c r="G21" s="280">
        <v>90</v>
      </c>
      <c r="H21" s="281" t="s">
        <v>46</v>
      </c>
      <c r="I21" s="247" t="s">
        <v>56</v>
      </c>
      <c r="J21" s="286">
        <v>70000</v>
      </c>
      <c r="K21" s="287">
        <v>200000</v>
      </c>
      <c r="L21" s="288"/>
      <c r="M21" s="222">
        <f t="shared" si="3"/>
        <v>270000</v>
      </c>
    </row>
    <row r="22" spans="2:14" ht="58.5" customHeight="1">
      <c r="B22" s="237" t="s">
        <v>57</v>
      </c>
      <c r="C22" s="289" t="s">
        <v>58</v>
      </c>
      <c r="D22" s="223" t="s">
        <v>59</v>
      </c>
      <c r="E22" s="290">
        <f t="shared" si="4"/>
        <v>8089887.6404494382</v>
      </c>
      <c r="F22" s="291" t="s">
        <v>45</v>
      </c>
      <c r="G22" s="292">
        <v>44.5</v>
      </c>
      <c r="H22" s="293" t="s">
        <v>46</v>
      </c>
      <c r="I22" s="248" t="s">
        <v>47</v>
      </c>
      <c r="J22" s="294">
        <v>360000</v>
      </c>
      <c r="K22" s="276"/>
      <c r="L22" s="283"/>
      <c r="M22" s="222">
        <f t="shared" si="3"/>
        <v>360000</v>
      </c>
    </row>
    <row r="23" spans="2:14" ht="60" customHeight="1">
      <c r="B23" s="236" t="s">
        <v>60</v>
      </c>
      <c r="C23" s="274" t="s">
        <v>61</v>
      </c>
      <c r="D23" s="241" t="s">
        <v>62</v>
      </c>
      <c r="E23" s="295">
        <f>M23/G23*1000</f>
        <v>10000000</v>
      </c>
      <c r="F23" s="281" t="s">
        <v>45</v>
      </c>
      <c r="G23" s="281">
        <v>45</v>
      </c>
      <c r="H23" s="281" t="s">
        <v>46</v>
      </c>
      <c r="I23" s="249" t="s">
        <v>63</v>
      </c>
      <c r="J23" s="281"/>
      <c r="K23" s="295">
        <v>450000</v>
      </c>
      <c r="L23" s="295"/>
      <c r="M23" s="222">
        <f t="shared" si="3"/>
        <v>450000</v>
      </c>
    </row>
    <row r="24" spans="2:14" ht="18" customHeight="1">
      <c r="B24" s="226" t="s">
        <v>64</v>
      </c>
      <c r="C24" s="224"/>
      <c r="D24" s="225"/>
      <c r="E24" s="182"/>
      <c r="F24" s="183"/>
      <c r="G24" s="183"/>
      <c r="H24" s="183"/>
      <c r="I24" s="183"/>
      <c r="J24" s="183"/>
      <c r="K24" s="184"/>
      <c r="L24" s="184"/>
      <c r="M24" s="184"/>
    </row>
    <row r="25" spans="2:14" ht="87" customHeight="1">
      <c r="B25" s="296" t="s">
        <v>65</v>
      </c>
      <c r="C25" s="277" t="s">
        <v>43</v>
      </c>
      <c r="D25" s="297" t="s">
        <v>66</v>
      </c>
      <c r="E25" s="278">
        <f>M25/G25*1000</f>
        <v>12894736.842105264</v>
      </c>
      <c r="F25" s="279" t="s">
        <v>45</v>
      </c>
      <c r="G25" s="280">
        <v>38</v>
      </c>
      <c r="H25" s="281" t="s">
        <v>46</v>
      </c>
      <c r="I25" s="245" t="s">
        <v>47</v>
      </c>
      <c r="J25" s="286">
        <v>490000</v>
      </c>
      <c r="K25" s="270"/>
      <c r="L25" s="298"/>
      <c r="M25" s="299">
        <f t="shared" ref="M25" si="5">SUM(J25:K25)</f>
        <v>490000</v>
      </c>
    </row>
    <row r="26" spans="2:14" ht="87" customHeight="1">
      <c r="B26" s="231" t="s">
        <v>65</v>
      </c>
      <c r="C26" s="227" t="s">
        <v>48</v>
      </c>
      <c r="D26" s="297" t="s">
        <v>67</v>
      </c>
      <c r="E26" s="295">
        <f>M26/G26*1000</f>
        <v>12894736.842105264</v>
      </c>
      <c r="F26" s="281" t="s">
        <v>45</v>
      </c>
      <c r="G26" s="280">
        <v>38</v>
      </c>
      <c r="H26" s="281" t="s">
        <v>46</v>
      </c>
      <c r="I26" s="246" t="s">
        <v>49</v>
      </c>
      <c r="J26" s="286"/>
      <c r="K26" s="233">
        <v>490000</v>
      </c>
      <c r="L26" s="233"/>
      <c r="M26" s="299">
        <f>SUM(J26:L26)</f>
        <v>490000</v>
      </c>
    </row>
    <row r="27" spans="2:14" ht="87" customHeight="1">
      <c r="B27" s="231" t="s">
        <v>65</v>
      </c>
      <c r="C27" s="234" t="s">
        <v>50</v>
      </c>
      <c r="D27" s="219" t="s">
        <v>68</v>
      </c>
      <c r="E27" s="295">
        <f>M27/G27</f>
        <v>3500000</v>
      </c>
      <c r="F27" s="281" t="s">
        <v>36</v>
      </c>
      <c r="G27" s="280">
        <v>0.2</v>
      </c>
      <c r="H27" s="300" t="s">
        <v>37</v>
      </c>
      <c r="I27" s="246" t="s">
        <v>52</v>
      </c>
      <c r="J27" s="282"/>
      <c r="K27" s="235">
        <v>700000</v>
      </c>
      <c r="L27" s="235"/>
      <c r="M27" s="299">
        <f t="shared" ref="M27" si="6">SUM(J27:L27)</f>
        <v>700000</v>
      </c>
    </row>
    <row r="28" spans="2:14" ht="118.5" customHeight="1">
      <c r="B28" s="301" t="s">
        <v>69</v>
      </c>
      <c r="C28" s="285" t="s">
        <v>54</v>
      </c>
      <c r="D28" s="250" t="s">
        <v>70</v>
      </c>
      <c r="E28" s="278">
        <f t="shared" ref="E28:E29" si="7">M28/G28*1000</f>
        <v>3000000</v>
      </c>
      <c r="F28" s="279" t="s">
        <v>45</v>
      </c>
      <c r="G28" s="280">
        <v>90</v>
      </c>
      <c r="H28" s="281" t="s">
        <v>46</v>
      </c>
      <c r="I28" s="247" t="s">
        <v>56</v>
      </c>
      <c r="J28" s="302">
        <v>70000</v>
      </c>
      <c r="K28" s="270">
        <v>200000</v>
      </c>
      <c r="L28" s="298"/>
      <c r="M28" s="299">
        <f>SUM(J28:L28)</f>
        <v>270000</v>
      </c>
    </row>
    <row r="29" spans="2:14" ht="59.25" customHeight="1">
      <c r="B29" s="301" t="s">
        <v>71</v>
      </c>
      <c r="C29" s="285" t="s">
        <v>58</v>
      </c>
      <c r="D29" s="303" t="s">
        <v>72</v>
      </c>
      <c r="E29" s="290">
        <f t="shared" si="7"/>
        <v>8089887.6404494382</v>
      </c>
      <c r="F29" s="279" t="s">
        <v>45</v>
      </c>
      <c r="G29" s="292">
        <v>44.5</v>
      </c>
      <c r="H29" s="293" t="s">
        <v>46</v>
      </c>
      <c r="I29" s="248" t="s">
        <v>47</v>
      </c>
      <c r="J29" s="304">
        <v>360000</v>
      </c>
      <c r="K29" s="276"/>
      <c r="L29" s="283"/>
      <c r="M29" s="299">
        <f>SUM(J29:L29)</f>
        <v>360000</v>
      </c>
    </row>
    <row r="30" spans="2:14" ht="59.25" customHeight="1">
      <c r="B30" s="238" t="s">
        <v>60</v>
      </c>
      <c r="C30" s="274" t="s">
        <v>61</v>
      </c>
      <c r="D30" s="240" t="s">
        <v>62</v>
      </c>
      <c r="E30" s="295">
        <f>M30/G30*1000</f>
        <v>10000000</v>
      </c>
      <c r="F30" s="279" t="s">
        <v>45</v>
      </c>
      <c r="G30" s="266">
        <v>45</v>
      </c>
      <c r="H30" s="281" t="s">
        <v>46</v>
      </c>
      <c r="I30" s="249" t="s">
        <v>63</v>
      </c>
      <c r="J30" s="270"/>
      <c r="K30" s="270">
        <v>450000</v>
      </c>
      <c r="L30" s="270"/>
      <c r="M30" s="299">
        <f>SUM(J30:L30)</f>
        <v>450000</v>
      </c>
    </row>
    <row r="31" spans="2:14">
      <c r="B31" s="185" t="s">
        <v>73</v>
      </c>
      <c r="C31" s="186"/>
      <c r="D31" s="187"/>
      <c r="E31" s="188"/>
      <c r="F31" s="187"/>
      <c r="G31" s="187"/>
      <c r="H31" s="187"/>
      <c r="I31" s="187"/>
      <c r="J31" s="189"/>
      <c r="K31" s="190"/>
      <c r="L31" s="190"/>
      <c r="M31" s="191"/>
    </row>
    <row r="32" spans="2:14" ht="16.5" customHeight="1">
      <c r="B32" s="305" t="s">
        <v>74</v>
      </c>
      <c r="C32" s="192" t="s">
        <v>75</v>
      </c>
      <c r="D32" s="139" t="s">
        <v>76</v>
      </c>
      <c r="E32" s="306" t="s">
        <v>77</v>
      </c>
      <c r="F32" s="307" t="s">
        <v>78</v>
      </c>
      <c r="G32" s="275"/>
      <c r="H32" s="275"/>
      <c r="I32" s="254" t="s">
        <v>14</v>
      </c>
      <c r="J32" s="308">
        <v>61425</v>
      </c>
      <c r="K32" s="309"/>
      <c r="L32" s="309"/>
      <c r="M32" s="310">
        <f t="shared" ref="M32:M49" si="8">SUM(J32:K32)</f>
        <v>61425</v>
      </c>
    </row>
    <row r="33" spans="2:13" ht="16.5" customHeight="1">
      <c r="B33" s="311"/>
      <c r="C33" s="193" t="s">
        <v>79</v>
      </c>
      <c r="D33" s="138"/>
      <c r="E33" s="312"/>
      <c r="F33" s="313"/>
      <c r="G33" s="314"/>
      <c r="H33" s="314"/>
      <c r="I33" s="255"/>
      <c r="J33" s="290">
        <v>60000</v>
      </c>
      <c r="K33" s="282"/>
      <c r="L33" s="282"/>
      <c r="M33" s="315">
        <f t="shared" si="8"/>
        <v>60000</v>
      </c>
    </row>
    <row r="34" spans="2:13" ht="16.5" customHeight="1">
      <c r="B34" s="305" t="s">
        <v>80</v>
      </c>
      <c r="C34" s="192" t="s">
        <v>75</v>
      </c>
      <c r="D34" s="139" t="s">
        <v>81</v>
      </c>
      <c r="E34" s="306" t="s">
        <v>82</v>
      </c>
      <c r="F34" s="307" t="s">
        <v>78</v>
      </c>
      <c r="G34" s="275"/>
      <c r="H34" s="275"/>
      <c r="I34" s="256" t="s">
        <v>14</v>
      </c>
      <c r="J34" s="308">
        <v>77700</v>
      </c>
      <c r="K34" s="309"/>
      <c r="L34" s="309"/>
      <c r="M34" s="310">
        <f t="shared" si="8"/>
        <v>77700</v>
      </c>
    </row>
    <row r="35" spans="2:13" ht="16.5" customHeight="1">
      <c r="B35" s="311"/>
      <c r="C35" s="193" t="s">
        <v>79</v>
      </c>
      <c r="D35" s="138"/>
      <c r="E35" s="312"/>
      <c r="F35" s="313"/>
      <c r="G35" s="314"/>
      <c r="H35" s="314"/>
      <c r="I35" s="256"/>
      <c r="J35" s="290">
        <v>110000</v>
      </c>
      <c r="K35" s="282"/>
      <c r="L35" s="282"/>
      <c r="M35" s="315">
        <f t="shared" si="8"/>
        <v>110000</v>
      </c>
    </row>
    <row r="36" spans="2:13" ht="16.5" customHeight="1">
      <c r="B36" s="305" t="s">
        <v>83</v>
      </c>
      <c r="C36" s="192" t="s">
        <v>75</v>
      </c>
      <c r="D36" s="139" t="s">
        <v>84</v>
      </c>
      <c r="E36" s="306" t="s">
        <v>85</v>
      </c>
      <c r="F36" s="307" t="s">
        <v>78</v>
      </c>
      <c r="G36" s="275"/>
      <c r="H36" s="275"/>
      <c r="I36" s="254" t="s">
        <v>14</v>
      </c>
      <c r="J36" s="308">
        <v>36750</v>
      </c>
      <c r="K36" s="309"/>
      <c r="L36" s="309"/>
      <c r="M36" s="310">
        <f t="shared" si="8"/>
        <v>36750</v>
      </c>
    </row>
    <row r="37" spans="2:13" ht="16.5" customHeight="1">
      <c r="B37" s="311"/>
      <c r="C37" s="193" t="s">
        <v>79</v>
      </c>
      <c r="D37" s="138"/>
      <c r="E37" s="312"/>
      <c r="F37" s="313"/>
      <c r="G37" s="314"/>
      <c r="H37" s="314"/>
      <c r="I37" s="256"/>
      <c r="J37" s="290">
        <v>25000</v>
      </c>
      <c r="K37" s="282"/>
      <c r="L37" s="282"/>
      <c r="M37" s="315">
        <f t="shared" si="8"/>
        <v>25000</v>
      </c>
    </row>
    <row r="38" spans="2:13" ht="16.5" customHeight="1">
      <c r="B38" s="305" t="s">
        <v>86</v>
      </c>
      <c r="C38" s="192" t="s">
        <v>75</v>
      </c>
      <c r="D38" s="139" t="s">
        <v>87</v>
      </c>
      <c r="E38" s="306" t="s">
        <v>77</v>
      </c>
      <c r="F38" s="307" t="s">
        <v>78</v>
      </c>
      <c r="G38" s="275"/>
      <c r="H38" s="275"/>
      <c r="I38" s="254" t="s">
        <v>14</v>
      </c>
      <c r="J38" s="308">
        <v>38325</v>
      </c>
      <c r="K38" s="309"/>
      <c r="L38" s="309"/>
      <c r="M38" s="310">
        <f t="shared" si="8"/>
        <v>38325</v>
      </c>
    </row>
    <row r="39" spans="2:13" ht="16.5" customHeight="1">
      <c r="B39" s="311"/>
      <c r="C39" s="193" t="s">
        <v>79</v>
      </c>
      <c r="D39" s="138"/>
      <c r="E39" s="316"/>
      <c r="F39" s="317"/>
      <c r="G39" s="314"/>
      <c r="H39" s="314"/>
      <c r="I39" s="256"/>
      <c r="J39" s="290">
        <v>60000</v>
      </c>
      <c r="K39" s="282"/>
      <c r="L39" s="282"/>
      <c r="M39" s="315">
        <f t="shared" si="8"/>
        <v>60000</v>
      </c>
    </row>
    <row r="40" spans="2:13" ht="16.5" customHeight="1">
      <c r="B40" s="194" t="s">
        <v>88</v>
      </c>
      <c r="C40" s="192" t="s">
        <v>89</v>
      </c>
      <c r="D40" s="139" t="s">
        <v>90</v>
      </c>
      <c r="E40" s="306">
        <v>2000000</v>
      </c>
      <c r="F40" s="307" t="s">
        <v>22</v>
      </c>
      <c r="G40" s="275"/>
      <c r="H40" s="275"/>
      <c r="I40" s="254" t="s">
        <v>14</v>
      </c>
      <c r="J40" s="276">
        <v>54500</v>
      </c>
      <c r="K40" s="308"/>
      <c r="L40" s="309"/>
      <c r="M40" s="310">
        <f t="shared" si="8"/>
        <v>54500</v>
      </c>
    </row>
    <row r="41" spans="2:13" ht="16.5" customHeight="1">
      <c r="B41" s="195"/>
      <c r="C41" s="193" t="s">
        <v>79</v>
      </c>
      <c r="D41" s="138"/>
      <c r="E41" s="312"/>
      <c r="F41" s="313"/>
      <c r="G41" s="314"/>
      <c r="H41" s="314"/>
      <c r="I41" s="255"/>
      <c r="J41" s="318">
        <v>50000</v>
      </c>
      <c r="K41" s="290"/>
      <c r="L41" s="282"/>
      <c r="M41" s="315">
        <f t="shared" si="8"/>
        <v>50000</v>
      </c>
    </row>
    <row r="42" spans="2:13" ht="16.5" customHeight="1">
      <c r="B42" s="194" t="s">
        <v>91</v>
      </c>
      <c r="C42" s="192" t="s">
        <v>89</v>
      </c>
      <c r="D42" s="139" t="s">
        <v>92</v>
      </c>
      <c r="E42" s="319">
        <v>2000000</v>
      </c>
      <c r="F42" s="307" t="s">
        <v>22</v>
      </c>
      <c r="G42" s="275"/>
      <c r="H42" s="275"/>
      <c r="I42" s="256" t="s">
        <v>14</v>
      </c>
      <c r="J42" s="276">
        <v>74550</v>
      </c>
      <c r="K42" s="308"/>
      <c r="L42" s="309"/>
      <c r="M42" s="310">
        <f t="shared" si="8"/>
        <v>74550</v>
      </c>
    </row>
    <row r="43" spans="2:13" ht="16.5" customHeight="1">
      <c r="B43" s="195"/>
      <c r="C43" s="193" t="s">
        <v>79</v>
      </c>
      <c r="D43" s="138"/>
      <c r="E43" s="316"/>
      <c r="F43" s="313"/>
      <c r="G43" s="314"/>
      <c r="H43" s="314"/>
      <c r="I43" s="256"/>
      <c r="J43" s="318">
        <v>50000</v>
      </c>
      <c r="K43" s="290"/>
      <c r="L43" s="282"/>
      <c r="M43" s="315">
        <f t="shared" si="8"/>
        <v>50000</v>
      </c>
    </row>
    <row r="44" spans="2:13" ht="16.5" customHeight="1">
      <c r="B44" s="194" t="s">
        <v>93</v>
      </c>
      <c r="C44" s="192" t="s">
        <v>89</v>
      </c>
      <c r="D44" s="139" t="s">
        <v>94</v>
      </c>
      <c r="E44" s="306">
        <v>2000000</v>
      </c>
      <c r="F44" s="307" t="s">
        <v>22</v>
      </c>
      <c r="G44" s="275"/>
      <c r="H44" s="275"/>
      <c r="I44" s="254" t="s">
        <v>14</v>
      </c>
      <c r="J44" s="276">
        <v>73500</v>
      </c>
      <c r="K44" s="308"/>
      <c r="L44" s="309"/>
      <c r="M44" s="310">
        <f t="shared" si="8"/>
        <v>73500</v>
      </c>
    </row>
    <row r="45" spans="2:13" ht="16.5" customHeight="1">
      <c r="B45" s="195"/>
      <c r="C45" s="193" t="s">
        <v>79</v>
      </c>
      <c r="D45" s="138"/>
      <c r="E45" s="316"/>
      <c r="F45" s="313"/>
      <c r="G45" s="314"/>
      <c r="H45" s="314"/>
      <c r="I45" s="256"/>
      <c r="J45" s="318">
        <v>50000</v>
      </c>
      <c r="K45" s="290"/>
      <c r="L45" s="282"/>
      <c r="M45" s="315">
        <f t="shared" si="8"/>
        <v>50000</v>
      </c>
    </row>
    <row r="46" spans="2:13" ht="16.5" customHeight="1">
      <c r="B46" s="194" t="s">
        <v>95</v>
      </c>
      <c r="C46" s="192" t="s">
        <v>89</v>
      </c>
      <c r="D46" s="139" t="s">
        <v>96</v>
      </c>
      <c r="E46" s="306">
        <v>2000000</v>
      </c>
      <c r="F46" s="307" t="s">
        <v>22</v>
      </c>
      <c r="G46" s="275"/>
      <c r="H46" s="275"/>
      <c r="I46" s="254" t="s">
        <v>14</v>
      </c>
      <c r="J46" s="276">
        <v>91750</v>
      </c>
      <c r="K46" s="308"/>
      <c r="L46" s="309"/>
      <c r="M46" s="310">
        <f t="shared" si="8"/>
        <v>91750</v>
      </c>
    </row>
    <row r="47" spans="2:13" ht="16.5" customHeight="1">
      <c r="B47" s="311"/>
      <c r="C47" s="193" t="s">
        <v>79</v>
      </c>
      <c r="D47" s="138"/>
      <c r="E47" s="316"/>
      <c r="F47" s="317"/>
      <c r="G47" s="314"/>
      <c r="H47" s="314"/>
      <c r="I47" s="256"/>
      <c r="J47" s="318">
        <v>50000</v>
      </c>
      <c r="K47" s="290"/>
      <c r="L47" s="282"/>
      <c r="M47" s="315">
        <f t="shared" si="8"/>
        <v>50000</v>
      </c>
    </row>
    <row r="48" spans="2:13" ht="16.5" customHeight="1">
      <c r="B48" s="194" t="s">
        <v>97</v>
      </c>
      <c r="C48" s="192" t="s">
        <v>89</v>
      </c>
      <c r="D48" s="139" t="s">
        <v>98</v>
      </c>
      <c r="E48" s="306">
        <v>2000000</v>
      </c>
      <c r="F48" s="320" t="s">
        <v>22</v>
      </c>
      <c r="G48" s="321"/>
      <c r="H48" s="321"/>
      <c r="I48" s="257" t="s">
        <v>14</v>
      </c>
      <c r="J48" s="276">
        <v>99500</v>
      </c>
      <c r="K48" s="308"/>
      <c r="L48" s="309"/>
      <c r="M48" s="310">
        <f t="shared" si="8"/>
        <v>99500</v>
      </c>
    </row>
    <row r="49" spans="2:14" ht="16.5" customHeight="1">
      <c r="B49" s="322"/>
      <c r="C49" s="196" t="s">
        <v>79</v>
      </c>
      <c r="D49" s="140"/>
      <c r="E49" s="312"/>
      <c r="F49" s="323"/>
      <c r="G49" s="324"/>
      <c r="H49" s="324"/>
      <c r="I49" s="258"/>
      <c r="J49" s="287">
        <v>50000</v>
      </c>
      <c r="K49" s="278"/>
      <c r="L49" s="286"/>
      <c r="M49" s="325">
        <f t="shared" si="8"/>
        <v>50000</v>
      </c>
    </row>
    <row r="50" spans="2:14" ht="18.75" customHeight="1">
      <c r="B50" s="326" t="s">
        <v>99</v>
      </c>
      <c r="C50" s="197"/>
      <c r="D50" s="142"/>
      <c r="E50" s="327"/>
      <c r="F50" s="328"/>
      <c r="G50" s="328"/>
      <c r="H50" s="328"/>
      <c r="I50" s="198"/>
      <c r="J50" s="329">
        <f>SUM(J8:J30)</f>
        <v>2402500</v>
      </c>
      <c r="K50" s="329">
        <f>SUM(K8:K30)</f>
        <v>4080000</v>
      </c>
      <c r="L50" s="329">
        <f>SUM(L8:L30)</f>
        <v>0</v>
      </c>
      <c r="M50" s="330">
        <f>SUM(J50:L50)</f>
        <v>6482500</v>
      </c>
      <c r="N50" s="94">
        <f>SUM(M8:M30)</f>
        <v>6482500</v>
      </c>
    </row>
    <row r="51" spans="2:14" ht="18.75" customHeight="1">
      <c r="B51" s="331" t="s">
        <v>100</v>
      </c>
      <c r="C51" s="197"/>
      <c r="D51" s="142"/>
      <c r="E51" s="332">
        <v>0.12</v>
      </c>
      <c r="F51" s="328"/>
      <c r="G51" s="328"/>
      <c r="H51" s="328"/>
      <c r="I51" s="198"/>
      <c r="J51" s="329">
        <f>J50*12%</f>
        <v>288300</v>
      </c>
      <c r="K51" s="329">
        <f>K50*12%</f>
        <v>489600</v>
      </c>
      <c r="L51" s="329">
        <f>L50*12%</f>
        <v>0</v>
      </c>
      <c r="M51" s="330">
        <f>SUM(J51:L51)</f>
        <v>777900</v>
      </c>
      <c r="N51" s="94">
        <f>N50*12%</f>
        <v>777900</v>
      </c>
    </row>
    <row r="52" spans="2:14" ht="18.75" customHeight="1">
      <c r="B52" s="199" t="s">
        <v>101</v>
      </c>
      <c r="C52" s="200"/>
      <c r="D52" s="143"/>
      <c r="E52" s="201"/>
      <c r="F52" s="202"/>
      <c r="G52" s="202"/>
      <c r="H52" s="202"/>
      <c r="I52" s="203"/>
      <c r="J52" s="204">
        <f>SUM(J50:J51)</f>
        <v>2690800</v>
      </c>
      <c r="K52" s="204">
        <f>SUM(K50:K51)</f>
        <v>4569600</v>
      </c>
      <c r="L52" s="204">
        <f>SUM(L50:L51)</f>
        <v>0</v>
      </c>
      <c r="M52" s="239">
        <f>SUM(J52:L52)</f>
        <v>7260400</v>
      </c>
      <c r="N52" s="94">
        <f>SUM(N50:N51)</f>
        <v>7260400</v>
      </c>
    </row>
    <row r="53" spans="2:14">
      <c r="B53" s="333" t="s">
        <v>102</v>
      </c>
      <c r="C53" s="334"/>
      <c r="D53" s="335"/>
      <c r="E53" s="336"/>
      <c r="F53" s="335"/>
      <c r="G53" s="335"/>
      <c r="H53" s="335"/>
      <c r="I53" s="335"/>
      <c r="J53" s="329">
        <f>SUM(J32:J49)</f>
        <v>1113000</v>
      </c>
      <c r="K53" s="329">
        <f>SUM(K32:K49)</f>
        <v>0</v>
      </c>
      <c r="L53" s="329">
        <f>SUM(L32:L49)</f>
        <v>0</v>
      </c>
      <c r="M53" s="337">
        <f>SUM(M32:M49)</f>
        <v>1113000</v>
      </c>
    </row>
    <row r="54" spans="2:14">
      <c r="B54" s="331" t="s">
        <v>100</v>
      </c>
      <c r="C54" s="338"/>
      <c r="D54" s="335"/>
      <c r="E54" s="332">
        <v>0.12</v>
      </c>
      <c r="F54" s="339"/>
      <c r="G54" s="339"/>
      <c r="H54" s="339"/>
      <c r="I54" s="335"/>
      <c r="J54" s="329">
        <f>J53*E54</f>
        <v>133560</v>
      </c>
      <c r="K54" s="329">
        <f>K53*E54</f>
        <v>0</v>
      </c>
      <c r="L54" s="329">
        <f>L53*F54</f>
        <v>0</v>
      </c>
      <c r="M54" s="337">
        <f>SUM(J54:K54)</f>
        <v>133560</v>
      </c>
    </row>
    <row r="55" spans="2:14">
      <c r="B55" s="340" t="s">
        <v>103</v>
      </c>
      <c r="C55" s="205"/>
      <c r="D55" s="206"/>
      <c r="E55" s="332">
        <v>0.18</v>
      </c>
      <c r="F55" s="207"/>
      <c r="G55" s="207"/>
      <c r="H55" s="207"/>
      <c r="I55" s="206"/>
      <c r="J55" s="329">
        <f>SUM(J32,J34,J36,J38,J40,J42,J44,J46,J48)*E55</f>
        <v>109440</v>
      </c>
      <c r="K55" s="329">
        <f>SUM(K32,K34,K36,K38,K40,K42,K44,K46,K48)*E55</f>
        <v>0</v>
      </c>
      <c r="L55" s="329">
        <f>SUM(L32,L34,L36,L38,L40,L42,L44,L46,L48)*F55</f>
        <v>0</v>
      </c>
      <c r="M55" s="337">
        <f>SUM(M32,M34,M36,M38,M40,M42,M44,M46,M48)*E55</f>
        <v>109440</v>
      </c>
    </row>
    <row r="56" spans="2:14">
      <c r="B56" s="208" t="s">
        <v>104</v>
      </c>
      <c r="C56" s="209"/>
      <c r="D56" s="210"/>
      <c r="E56" s="211"/>
      <c r="F56" s="210"/>
      <c r="G56" s="210"/>
      <c r="H56" s="210"/>
      <c r="I56" s="210"/>
      <c r="J56" s="204">
        <f>SUM(J53:J55)</f>
        <v>1356000</v>
      </c>
      <c r="K56" s="204">
        <f>SUM(K53:K55)</f>
        <v>0</v>
      </c>
      <c r="L56" s="204">
        <f>SUM(L53:L55)</f>
        <v>0</v>
      </c>
      <c r="M56" s="212">
        <f>SUM(M53:M55)</f>
        <v>1356000</v>
      </c>
    </row>
    <row r="57" spans="2:14">
      <c r="B57" s="213" t="s">
        <v>105</v>
      </c>
      <c r="C57" s="214"/>
      <c r="D57" s="215"/>
      <c r="E57" s="215"/>
      <c r="F57" s="215"/>
      <c r="G57" s="215"/>
      <c r="H57" s="215"/>
      <c r="I57" s="215"/>
      <c r="J57" s="216">
        <f>SUM(J52,J56)</f>
        <v>4046800</v>
      </c>
      <c r="K57" s="216">
        <f>SUM(K52,K56)</f>
        <v>4569600</v>
      </c>
      <c r="L57" s="216">
        <f>SUM(L52,L56)</f>
        <v>0</v>
      </c>
      <c r="M57" s="216">
        <f>SUM(M52,M56)</f>
        <v>8616400</v>
      </c>
      <c r="N57" s="94">
        <f>SUM(J57:L57)</f>
        <v>8616400</v>
      </c>
    </row>
    <row r="58" spans="2:14"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</row>
    <row r="59" spans="2:14"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</row>
    <row r="60" spans="2:14"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</row>
    <row r="61" spans="2:14"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</row>
  </sheetData>
  <mergeCells count="34">
    <mergeCell ref="B8:B9"/>
    <mergeCell ref="D8:D13"/>
    <mergeCell ref="B10:B11"/>
    <mergeCell ref="B12:B13"/>
    <mergeCell ref="I8:I9"/>
    <mergeCell ref="I10:I11"/>
    <mergeCell ref="I12:I13"/>
    <mergeCell ref="I36:I37"/>
    <mergeCell ref="I38:I39"/>
    <mergeCell ref="I32:I33"/>
    <mergeCell ref="I34:I35"/>
    <mergeCell ref="E32:E33"/>
    <mergeCell ref="F32:F33"/>
    <mergeCell ref="E34:E35"/>
    <mergeCell ref="F34:F35"/>
    <mergeCell ref="E36:E37"/>
    <mergeCell ref="F36:F37"/>
    <mergeCell ref="E38:E39"/>
    <mergeCell ref="F38:F39"/>
    <mergeCell ref="E40:E41"/>
    <mergeCell ref="E42:E43"/>
    <mergeCell ref="E44:E45"/>
    <mergeCell ref="E46:E47"/>
    <mergeCell ref="E48:E49"/>
    <mergeCell ref="F40:F41"/>
    <mergeCell ref="F42:F43"/>
    <mergeCell ref="F44:F45"/>
    <mergeCell ref="F46:F47"/>
    <mergeCell ref="F48:F49"/>
    <mergeCell ref="I40:I41"/>
    <mergeCell ref="I42:I43"/>
    <mergeCell ref="I44:I45"/>
    <mergeCell ref="I46:I47"/>
    <mergeCell ref="I48:I4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2544-BFD5-4243-9EB9-8251A1A78F2F}">
  <dimension ref="A2:A16"/>
  <sheetViews>
    <sheetView workbookViewId="0">
      <selection activeCell="A2" sqref="A2:A16"/>
    </sheetView>
  </sheetViews>
  <sheetFormatPr defaultRowHeight="14.45"/>
  <cols>
    <col min="1" max="1" width="68.140625" customWidth="1"/>
  </cols>
  <sheetData>
    <row r="2" spans="1:1">
      <c r="A2" s="3" t="s">
        <v>106</v>
      </c>
    </row>
    <row r="3" spans="1:1">
      <c r="A3" s="3" t="s">
        <v>107</v>
      </c>
    </row>
    <row r="4" spans="1:1">
      <c r="A4" s="3" t="s">
        <v>108</v>
      </c>
    </row>
    <row r="5" spans="1:1">
      <c r="A5" s="3" t="s">
        <v>109</v>
      </c>
    </row>
    <row r="6" spans="1:1">
      <c r="A6" s="3" t="s">
        <v>110</v>
      </c>
    </row>
    <row r="7" spans="1:1">
      <c r="A7" s="3" t="s">
        <v>111</v>
      </c>
    </row>
    <row r="8" spans="1:1">
      <c r="A8" s="3" t="s">
        <v>112</v>
      </c>
    </row>
    <row r="9" spans="1:1">
      <c r="A9" s="3" t="s">
        <v>113</v>
      </c>
    </row>
    <row r="10" spans="1:1">
      <c r="A10" s="3" t="s">
        <v>114</v>
      </c>
    </row>
    <row r="11" spans="1:1">
      <c r="A11" s="3" t="s">
        <v>115</v>
      </c>
    </row>
    <row r="12" spans="1:1">
      <c r="A12" s="3" t="s">
        <v>116</v>
      </c>
    </row>
    <row r="13" spans="1:1">
      <c r="A13" s="3" t="s">
        <v>117</v>
      </c>
    </row>
    <row r="14" spans="1:1">
      <c r="A14" s="3" t="s">
        <v>118</v>
      </c>
    </row>
    <row r="15" spans="1:1">
      <c r="A15" s="3" t="s">
        <v>119</v>
      </c>
    </row>
    <row r="16" spans="1:1">
      <c r="A16" s="3" t="s">
        <v>120</v>
      </c>
    </row>
  </sheetData>
  <hyperlinks>
    <hyperlink ref="A2" r:id="rId1" xr:uid="{62DB6277-2FE0-4D2D-A721-95FDE8D41868}"/>
    <hyperlink ref="A3" r:id="rId2" xr:uid="{5FECBF08-F026-47EA-9CB0-14C6006DCE1A}"/>
    <hyperlink ref="A4" r:id="rId3" xr:uid="{F25D53B3-03E7-47AC-AA93-2A2BE4F43F69}"/>
    <hyperlink ref="A5" r:id="rId4" xr:uid="{ED9B0F22-8BD3-4814-80B7-238331E1DB76}"/>
    <hyperlink ref="A6" r:id="rId5" xr:uid="{3468A760-2433-4348-AC4C-05DBDCECA686}"/>
    <hyperlink ref="A7" r:id="rId6" xr:uid="{94FA4A45-F07B-42A0-B1F7-A53B67AE7B53}"/>
    <hyperlink ref="A8" r:id="rId7" xr:uid="{CF7CB137-C2DC-446D-9FBB-C42924E982A2}"/>
    <hyperlink ref="A9" r:id="rId8" xr:uid="{78055EA5-12DF-4587-A123-370A27823182}"/>
    <hyperlink ref="A10" r:id="rId9" xr:uid="{EE598539-3743-4939-BB98-CE8769A552D0}"/>
    <hyperlink ref="A11" r:id="rId10" xr:uid="{9780CA74-071D-44C1-BB94-426EAD0A737D}"/>
    <hyperlink ref="A12" r:id="rId11" xr:uid="{E5734490-E2DD-4CED-804B-0ED3928BA88C}"/>
    <hyperlink ref="A13" r:id="rId12" xr:uid="{7E6B8DD6-BEEB-4DA5-BAFE-18F35A8A97E7}"/>
    <hyperlink ref="A14" r:id="rId13" xr:uid="{1ED8938E-AC5A-46E2-BE70-97BE3AC1DC98}"/>
    <hyperlink ref="A15" r:id="rId14" xr:uid="{848B77F7-0E82-4529-AEFC-29CB43201E77}"/>
    <hyperlink ref="A16" r:id="rId15" xr:uid="{C82D9D11-588A-47D1-9BEB-BA38BFDB4E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7CCA-A02A-43BF-89C7-1557C45BE43B}">
  <dimension ref="A1:T80"/>
  <sheetViews>
    <sheetView workbookViewId="0">
      <selection activeCell="L4" sqref="L4"/>
    </sheetView>
  </sheetViews>
  <sheetFormatPr defaultRowHeight="14.45"/>
  <cols>
    <col min="1" max="1" width="21.28515625" customWidth="1"/>
    <col min="2" max="2" width="11.42578125" customWidth="1"/>
    <col min="3" max="3" width="17.140625" customWidth="1"/>
    <col min="4" max="4" width="71.7109375" customWidth="1"/>
    <col min="5" max="6" width="13.42578125" customWidth="1"/>
    <col min="7" max="7" width="12.42578125" customWidth="1"/>
    <col min="8" max="8" width="21.28515625" customWidth="1"/>
    <col min="9" max="9" width="23.42578125" customWidth="1"/>
    <col min="10" max="10" width="20.85546875" customWidth="1"/>
    <col min="11" max="11" width="18.28515625" customWidth="1"/>
    <col min="12" max="12" width="19.42578125" customWidth="1"/>
    <col min="13" max="13" width="20.28515625" customWidth="1"/>
    <col min="14" max="14" width="21" customWidth="1"/>
    <col min="15" max="18" width="22.28515625" customWidth="1"/>
    <col min="19" max="19" width="24" customWidth="1"/>
    <col min="20" max="20" width="25.140625" customWidth="1"/>
  </cols>
  <sheetData>
    <row r="1" spans="1:20">
      <c r="A1" s="4"/>
      <c r="B1" s="5"/>
      <c r="C1" s="6" t="s">
        <v>0</v>
      </c>
      <c r="D1" s="7" t="s">
        <v>1</v>
      </c>
      <c r="E1" s="8"/>
      <c r="F1" s="4"/>
      <c r="G1" s="4"/>
      <c r="H1" s="4"/>
      <c r="I1" s="4"/>
      <c r="J1" s="4"/>
      <c r="K1" s="4"/>
      <c r="L1" s="4"/>
    </row>
    <row r="2" spans="1:20">
      <c r="A2" s="4"/>
      <c r="B2" s="5"/>
      <c r="C2" s="6" t="s">
        <v>2</v>
      </c>
      <c r="D2" s="4" t="s">
        <v>121</v>
      </c>
      <c r="E2" s="8"/>
      <c r="F2" s="4"/>
      <c r="G2" s="4"/>
      <c r="H2" s="4"/>
      <c r="I2" s="4"/>
      <c r="J2" s="4"/>
      <c r="K2" s="4"/>
      <c r="L2" s="4"/>
    </row>
    <row r="3" spans="1:20">
      <c r="A3" s="4"/>
      <c r="B3" s="5"/>
      <c r="C3" s="6" t="s">
        <v>4</v>
      </c>
      <c r="D3" s="9" t="s">
        <v>122</v>
      </c>
      <c r="E3" s="8"/>
      <c r="F3" s="4"/>
      <c r="G3" s="4"/>
      <c r="H3" s="4"/>
      <c r="I3" s="4"/>
      <c r="J3" s="4"/>
      <c r="K3" s="4"/>
      <c r="L3" s="4"/>
    </row>
    <row r="4" spans="1:20">
      <c r="A4" s="4"/>
      <c r="B4" s="5"/>
      <c r="C4" s="6" t="s">
        <v>6</v>
      </c>
      <c r="D4" s="10" t="s">
        <v>123</v>
      </c>
      <c r="E4" s="8"/>
      <c r="F4" s="4"/>
      <c r="G4" s="4"/>
      <c r="H4" s="4"/>
      <c r="I4" s="4"/>
      <c r="J4" s="4"/>
      <c r="K4" s="4"/>
      <c r="L4" s="4"/>
    </row>
    <row r="5" spans="1:20">
      <c r="A5" s="4"/>
      <c r="B5" s="5"/>
      <c r="C5" s="4"/>
      <c r="D5" s="4"/>
      <c r="E5" s="8"/>
      <c r="F5" s="4"/>
      <c r="G5" s="4"/>
      <c r="H5" s="103" t="s">
        <v>124</v>
      </c>
      <c r="I5" s="4"/>
      <c r="J5" s="4"/>
      <c r="K5" s="4"/>
      <c r="L5" s="4"/>
    </row>
    <row r="6" spans="1:20" ht="18.75" customHeight="1">
      <c r="A6" s="4"/>
      <c r="B6" s="54" t="s">
        <v>125</v>
      </c>
      <c r="C6" s="55" t="s">
        <v>8</v>
      </c>
      <c r="D6" s="55" t="s">
        <v>9</v>
      </c>
      <c r="E6" s="55" t="s">
        <v>126</v>
      </c>
      <c r="F6" s="55" t="s">
        <v>11</v>
      </c>
      <c r="G6" s="55" t="s">
        <v>12</v>
      </c>
      <c r="H6" s="55" t="s">
        <v>13</v>
      </c>
      <c r="I6" s="78" t="s">
        <v>127</v>
      </c>
      <c r="J6" s="78" t="s">
        <v>128</v>
      </c>
      <c r="K6" s="56" t="s">
        <v>17</v>
      </c>
      <c r="L6" s="57" t="s">
        <v>129</v>
      </c>
      <c r="M6" s="101" t="s">
        <v>130</v>
      </c>
      <c r="N6" s="102" t="s">
        <v>131</v>
      </c>
      <c r="O6" s="106" t="s">
        <v>132</v>
      </c>
      <c r="P6" s="106" t="s">
        <v>133</v>
      </c>
      <c r="Q6" s="134" t="s">
        <v>134</v>
      </c>
      <c r="R6" s="134" t="s">
        <v>134</v>
      </c>
      <c r="S6" s="111" t="s">
        <v>135</v>
      </c>
      <c r="T6" s="111" t="s">
        <v>136</v>
      </c>
    </row>
    <row r="7" spans="1:20">
      <c r="A7" s="4"/>
      <c r="B7" s="19" t="s">
        <v>137</v>
      </c>
      <c r="C7" s="20"/>
      <c r="D7" s="21"/>
      <c r="E7" s="22"/>
      <c r="F7" s="20"/>
      <c r="G7" s="50"/>
      <c r="H7" s="21"/>
      <c r="I7" s="23"/>
      <c r="J7" s="24"/>
      <c r="K7" s="25"/>
      <c r="L7" s="81">
        <f>SUM(K8:K8)/K22</f>
        <v>0.28448275862068967</v>
      </c>
    </row>
    <row r="8" spans="1:20" ht="144.75" customHeight="1">
      <c r="A8" s="4"/>
      <c r="B8" s="80"/>
      <c r="C8" s="135" t="s">
        <v>138</v>
      </c>
      <c r="D8" s="86" t="s">
        <v>139</v>
      </c>
      <c r="E8" s="84" t="e">
        <f>K8/G8</f>
        <v>#REF!</v>
      </c>
      <c r="F8" s="85" t="e">
        <f>#REF!</f>
        <v>#REF!</v>
      </c>
      <c r="G8" s="107" t="e">
        <f>#REF!</f>
        <v>#REF!</v>
      </c>
      <c r="H8" s="98" t="s">
        <v>140</v>
      </c>
      <c r="I8" s="79">
        <v>170000</v>
      </c>
      <c r="J8" s="79">
        <v>160000</v>
      </c>
      <c r="K8" s="83">
        <f>SUM(I8:J8)</f>
        <v>330000</v>
      </c>
      <c r="M8" s="112">
        <v>7200000</v>
      </c>
      <c r="N8" s="112">
        <v>8500000</v>
      </c>
      <c r="O8" s="115">
        <v>2.5</v>
      </c>
      <c r="P8" s="115">
        <v>3.5</v>
      </c>
      <c r="Q8" s="94" t="e">
        <f>E8/O8</f>
        <v>#REF!</v>
      </c>
      <c r="R8" s="94" t="e">
        <f>E8/P8</f>
        <v>#REF!</v>
      </c>
      <c r="S8" s="95" t="e">
        <f>Q8/M8</f>
        <v>#REF!</v>
      </c>
      <c r="T8" s="95" t="e">
        <f>Q8/N8</f>
        <v>#REF!</v>
      </c>
    </row>
    <row r="9" spans="1:20">
      <c r="A9" s="4"/>
      <c r="B9" s="44"/>
      <c r="C9" s="45"/>
      <c r="D9" s="87"/>
      <c r="E9" s="84"/>
      <c r="F9" s="85"/>
      <c r="G9" s="107"/>
      <c r="H9" s="98"/>
      <c r="I9" s="79"/>
      <c r="J9" s="79"/>
      <c r="K9" s="83">
        <f t="shared" ref="K9:K14" si="0">SUM(I9:J9)</f>
        <v>0</v>
      </c>
      <c r="O9" s="114"/>
      <c r="P9" s="114"/>
      <c r="Q9" s="95"/>
      <c r="R9" s="95"/>
    </row>
    <row r="10" spans="1:20">
      <c r="A10" s="4"/>
      <c r="B10" s="16" t="s">
        <v>141</v>
      </c>
      <c r="C10" s="96"/>
      <c r="D10" s="18"/>
      <c r="E10" s="17"/>
      <c r="F10" s="17"/>
      <c r="G10" s="108"/>
      <c r="H10" s="99"/>
      <c r="I10" s="17"/>
      <c r="J10" s="18"/>
      <c r="K10" s="83">
        <f t="shared" si="0"/>
        <v>0</v>
      </c>
      <c r="L10" s="81">
        <f>SUM(K11:K11)/K22</f>
        <v>0.2413793103448276</v>
      </c>
      <c r="O10" s="114"/>
      <c r="P10" s="114"/>
      <c r="Q10" s="95"/>
      <c r="R10" s="95"/>
    </row>
    <row r="11" spans="1:20" ht="160.5" customHeight="1">
      <c r="A11" s="4"/>
      <c r="B11" s="88"/>
      <c r="C11" s="136" t="s">
        <v>138</v>
      </c>
      <c r="D11" s="87" t="s">
        <v>142</v>
      </c>
      <c r="E11" s="126" t="e">
        <f>K11/G11</f>
        <v>#REF!</v>
      </c>
      <c r="F11" s="127" t="e">
        <f>#REF!</f>
        <v>#REF!</v>
      </c>
      <c r="G11" s="128" t="e">
        <f>#REF!</f>
        <v>#REF!</v>
      </c>
      <c r="H11" s="98" t="s">
        <v>140</v>
      </c>
      <c r="I11" s="79">
        <v>150000</v>
      </c>
      <c r="J11" s="79">
        <v>130000</v>
      </c>
      <c r="K11" s="83">
        <f>SUM(I11:J11)</f>
        <v>280000</v>
      </c>
      <c r="L11" s="4"/>
      <c r="M11" s="113" t="s">
        <v>143</v>
      </c>
      <c r="N11" s="113" t="s">
        <v>143</v>
      </c>
      <c r="O11" s="116">
        <v>1.3</v>
      </c>
      <c r="P11" s="116">
        <v>1.8</v>
      </c>
      <c r="Q11" s="94" t="e">
        <f>E11/O11</f>
        <v>#REF!</v>
      </c>
      <c r="R11" s="94" t="e">
        <f>E11/P11</f>
        <v>#REF!</v>
      </c>
    </row>
    <row r="12" spans="1:20">
      <c r="A12" s="4"/>
      <c r="B12" s="117"/>
      <c r="C12" s="119"/>
      <c r="D12" s="118"/>
      <c r="E12" s="93"/>
      <c r="F12" s="130"/>
      <c r="G12" s="109"/>
      <c r="H12" s="98"/>
      <c r="I12" s="79"/>
      <c r="J12" s="79"/>
      <c r="K12" s="83">
        <f t="shared" si="0"/>
        <v>0</v>
      </c>
      <c r="L12" s="4"/>
      <c r="M12" s="113"/>
      <c r="N12" s="113"/>
      <c r="O12" s="116"/>
      <c r="P12" s="116"/>
      <c r="Q12" s="95"/>
      <c r="R12" s="95"/>
    </row>
    <row r="13" spans="1:20">
      <c r="A13" s="4"/>
      <c r="B13" s="19" t="s">
        <v>144</v>
      </c>
      <c r="C13" s="97"/>
      <c r="D13" s="21"/>
      <c r="E13" s="91"/>
      <c r="F13" s="89"/>
      <c r="G13" s="110"/>
      <c r="H13" s="100"/>
      <c r="I13" s="90"/>
      <c r="J13" s="90"/>
      <c r="K13" s="83">
        <f t="shared" si="0"/>
        <v>0</v>
      </c>
      <c r="L13" s="81">
        <f>SUM(K14:K14)/K22</f>
        <v>0.47413793103448276</v>
      </c>
      <c r="O13" s="114"/>
      <c r="P13" s="114"/>
      <c r="Q13" s="95"/>
      <c r="R13" s="95"/>
    </row>
    <row r="14" spans="1:20" ht="117" customHeight="1">
      <c r="A14" s="4"/>
      <c r="B14" s="117"/>
      <c r="C14" s="137" t="s">
        <v>138</v>
      </c>
      <c r="D14" s="92" t="s">
        <v>145</v>
      </c>
      <c r="E14" s="126" t="e">
        <f>K14/G14</f>
        <v>#REF!</v>
      </c>
      <c r="F14" s="82" t="e">
        <f>#REF!</f>
        <v>#REF!</v>
      </c>
      <c r="G14" s="109" t="e">
        <f>#REF!</f>
        <v>#REF!</v>
      </c>
      <c r="H14" s="98" t="s">
        <v>140</v>
      </c>
      <c r="I14" s="124">
        <v>330000</v>
      </c>
      <c r="J14" s="79">
        <v>220000</v>
      </c>
      <c r="K14" s="83">
        <f t="shared" si="0"/>
        <v>550000</v>
      </c>
      <c r="L14" s="53"/>
      <c r="M14" s="112">
        <v>8951000</v>
      </c>
      <c r="N14" s="112">
        <v>10941000</v>
      </c>
      <c r="O14" s="114">
        <v>3.5</v>
      </c>
      <c r="P14" s="94">
        <v>4</v>
      </c>
      <c r="Q14" s="94" t="e">
        <f>E14/O14</f>
        <v>#REF!</v>
      </c>
      <c r="R14" s="94" t="e">
        <f>E14/P14</f>
        <v>#REF!</v>
      </c>
      <c r="S14" s="95" t="e">
        <f>Q14/M14</f>
        <v>#REF!</v>
      </c>
      <c r="T14" s="95" t="e">
        <f>Q14/N14</f>
        <v>#REF!</v>
      </c>
    </row>
    <row r="15" spans="1:20">
      <c r="A15" s="4"/>
      <c r="B15" s="19" t="s">
        <v>73</v>
      </c>
      <c r="C15" s="50"/>
      <c r="D15" s="21"/>
      <c r="E15" s="22"/>
      <c r="F15" s="20"/>
      <c r="G15" s="20"/>
      <c r="H15" s="21"/>
      <c r="I15" s="26"/>
      <c r="J15" s="26"/>
      <c r="K15" s="25"/>
      <c r="L15" s="4"/>
      <c r="O15" s="94"/>
      <c r="P15" s="94"/>
      <c r="Q15" s="95"/>
      <c r="R15" s="95"/>
    </row>
    <row r="16" spans="1:20">
      <c r="A16" s="4"/>
      <c r="B16" s="48"/>
      <c r="C16" s="36"/>
      <c r="D16" s="31"/>
      <c r="E16" s="32"/>
      <c r="F16" s="131"/>
      <c r="G16" s="29"/>
      <c r="H16" s="35"/>
      <c r="I16" s="38"/>
      <c r="J16" s="29"/>
      <c r="K16" s="41">
        <f t="shared" ref="K16:K21" si="1">SUM(I16:J16)</f>
        <v>0</v>
      </c>
      <c r="L16" s="4"/>
    </row>
    <row r="17" spans="1:12">
      <c r="A17" s="4"/>
      <c r="B17" s="49"/>
      <c r="C17" s="36"/>
      <c r="D17" s="30"/>
      <c r="E17" s="33"/>
      <c r="F17" s="132"/>
      <c r="G17" s="5"/>
      <c r="H17" s="36"/>
      <c r="I17" s="39"/>
      <c r="J17" s="5"/>
      <c r="K17" s="42">
        <f t="shared" si="1"/>
        <v>0</v>
      </c>
      <c r="L17" s="4"/>
    </row>
    <row r="18" spans="1:12">
      <c r="A18" s="4"/>
      <c r="B18" s="49"/>
      <c r="C18" s="36"/>
      <c r="D18" s="30"/>
      <c r="E18" s="33"/>
      <c r="F18" s="132"/>
      <c r="G18" s="5"/>
      <c r="H18" s="36"/>
      <c r="I18" s="39"/>
      <c r="J18" s="5"/>
      <c r="K18" s="42">
        <f t="shared" si="1"/>
        <v>0</v>
      </c>
      <c r="L18" s="4"/>
    </row>
    <row r="19" spans="1:12">
      <c r="A19" s="4"/>
      <c r="B19" s="49"/>
      <c r="C19" s="36"/>
      <c r="D19" s="30"/>
      <c r="E19" s="33"/>
      <c r="F19" s="132"/>
      <c r="G19" s="5"/>
      <c r="H19" s="36"/>
      <c r="I19" s="39"/>
      <c r="J19" s="5"/>
      <c r="K19" s="42">
        <f t="shared" si="1"/>
        <v>0</v>
      </c>
      <c r="L19" s="4"/>
    </row>
    <row r="20" spans="1:12">
      <c r="A20" s="4"/>
      <c r="B20" s="49"/>
      <c r="C20" s="36"/>
      <c r="D20" s="30"/>
      <c r="E20" s="33"/>
      <c r="F20" s="132"/>
      <c r="G20" s="5"/>
      <c r="H20" s="36"/>
      <c r="I20" s="39"/>
      <c r="J20" s="5"/>
      <c r="K20" s="42">
        <f t="shared" si="1"/>
        <v>0</v>
      </c>
      <c r="L20" s="4"/>
    </row>
    <row r="21" spans="1:12">
      <c r="A21" s="4"/>
      <c r="B21" s="27"/>
      <c r="C21" s="47"/>
      <c r="D21" s="47"/>
      <c r="E21" s="34"/>
      <c r="F21" s="133"/>
      <c r="G21" s="28"/>
      <c r="H21" s="37"/>
      <c r="I21" s="40"/>
      <c r="J21" s="28"/>
      <c r="K21" s="43">
        <f t="shared" si="1"/>
        <v>0</v>
      </c>
      <c r="L21" s="4"/>
    </row>
    <row r="22" spans="1:12">
      <c r="A22" s="4"/>
      <c r="B22" s="58" t="s">
        <v>146</v>
      </c>
      <c r="C22" s="59" t="s">
        <v>99</v>
      </c>
      <c r="D22" s="60"/>
      <c r="E22" s="61"/>
      <c r="F22" s="60"/>
      <c r="G22" s="60"/>
      <c r="H22" s="60"/>
      <c r="I22" s="62">
        <f>SUM(I8:I14)</f>
        <v>650000</v>
      </c>
      <c r="J22" s="62">
        <f>SUM(J8:J14)</f>
        <v>510000</v>
      </c>
      <c r="K22" s="63">
        <f>SUM(K8:K15)</f>
        <v>1160000</v>
      </c>
      <c r="L22" s="11">
        <f>SUM(I22:J22)</f>
        <v>1160000</v>
      </c>
    </row>
    <row r="23" spans="1:12">
      <c r="A23" s="4"/>
      <c r="B23" s="58"/>
      <c r="C23" s="64" t="s">
        <v>102</v>
      </c>
      <c r="D23" s="65"/>
      <c r="E23" s="66"/>
      <c r="F23" s="65"/>
      <c r="G23" s="65"/>
      <c r="H23" s="65"/>
      <c r="I23" s="67">
        <f>SUM(I16:I21)</f>
        <v>0</v>
      </c>
      <c r="J23" s="67">
        <f>SUM(J16:J20)</f>
        <v>0</v>
      </c>
      <c r="K23" s="68">
        <f>SUM(K16:K21)</f>
        <v>0</v>
      </c>
      <c r="L23" s="11"/>
    </row>
    <row r="24" spans="1:12">
      <c r="A24" s="4"/>
      <c r="B24" s="58"/>
      <c r="C24" s="69" t="s">
        <v>147</v>
      </c>
      <c r="D24" s="65"/>
      <c r="E24" s="70"/>
      <c r="F24" s="71"/>
      <c r="G24" s="71"/>
      <c r="H24" s="65"/>
      <c r="I24" s="67">
        <f>SUM(I22:I23)</f>
        <v>650000</v>
      </c>
      <c r="J24" s="67">
        <f>SUM(J22:J23)</f>
        <v>510000</v>
      </c>
      <c r="K24" s="68">
        <f>SUM(K22:K23)</f>
        <v>1160000</v>
      </c>
      <c r="L24" s="11"/>
    </row>
    <row r="25" spans="1:12">
      <c r="A25" s="4"/>
      <c r="B25" s="58"/>
      <c r="C25" s="72" t="s">
        <v>100</v>
      </c>
      <c r="D25" s="60"/>
      <c r="E25" s="73">
        <v>0.12</v>
      </c>
      <c r="F25" s="74"/>
      <c r="G25" s="74"/>
      <c r="H25" s="60"/>
      <c r="I25" s="62">
        <f>SUM(I24*$E25)</f>
        <v>78000</v>
      </c>
      <c r="J25" s="62">
        <f>SUM(J24*$E25)</f>
        <v>61200</v>
      </c>
      <c r="K25" s="63">
        <f>SUM(K24*$E25)</f>
        <v>139200</v>
      </c>
      <c r="L25" s="11">
        <f>SUM(I25:J25)</f>
        <v>139200</v>
      </c>
    </row>
    <row r="26" spans="1:12">
      <c r="A26" s="4"/>
      <c r="B26" s="58"/>
      <c r="C26" s="69" t="s">
        <v>103</v>
      </c>
      <c r="D26" s="65"/>
      <c r="E26" s="70">
        <v>0.18</v>
      </c>
      <c r="F26" s="71"/>
      <c r="G26" s="71"/>
      <c r="H26" s="65"/>
      <c r="I26" s="67">
        <f>SUM(I16:I20)*E26</f>
        <v>0</v>
      </c>
      <c r="J26" s="67">
        <f>SUM(J16:J20)*E26</f>
        <v>0</v>
      </c>
      <c r="K26" s="68">
        <f>SUM(I26:J26)</f>
        <v>0</v>
      </c>
      <c r="L26" s="4"/>
    </row>
    <row r="27" spans="1:12" ht="16.149999999999999">
      <c r="A27" s="4"/>
      <c r="B27" s="75"/>
      <c r="C27" s="69" t="s">
        <v>148</v>
      </c>
      <c r="D27" s="65"/>
      <c r="E27" s="66"/>
      <c r="F27" s="65"/>
      <c r="G27" s="65"/>
      <c r="H27" s="65"/>
      <c r="I27" s="76">
        <f>SUM(I24:I26)</f>
        <v>728000</v>
      </c>
      <c r="J27" s="76">
        <f>SUM(J24:J26)</f>
        <v>571200</v>
      </c>
      <c r="K27" s="77">
        <f>SUM(K24:K26)</f>
        <v>1299200</v>
      </c>
      <c r="L27" s="12">
        <f>SUM(I27:J27)</f>
        <v>1299200</v>
      </c>
    </row>
    <row r="28" spans="1:12">
      <c r="A28" s="4"/>
      <c r="B28" s="5"/>
      <c r="C28" s="4"/>
      <c r="D28" s="4"/>
      <c r="E28" s="6"/>
      <c r="F28" s="13"/>
      <c r="G28" s="14"/>
      <c r="H28" s="4"/>
      <c r="I28" s="4"/>
      <c r="J28" s="4"/>
      <c r="K28" s="4"/>
      <c r="L28" s="4"/>
    </row>
    <row r="29" spans="1:12">
      <c r="A29" s="4"/>
      <c r="B29" s="52"/>
      <c r="C29" s="4"/>
      <c r="D29" s="4"/>
      <c r="E29" s="8"/>
      <c r="F29" s="11"/>
      <c r="G29" s="15"/>
      <c r="H29" s="4"/>
      <c r="J29" s="8" t="s">
        <v>102</v>
      </c>
      <c r="K29" s="11">
        <f>SUM(I16:I21)</f>
        <v>0</v>
      </c>
      <c r="L29" s="4"/>
    </row>
    <row r="30" spans="1:12">
      <c r="A30" s="4"/>
      <c r="B30" s="52"/>
      <c r="C30" s="4"/>
      <c r="D30" s="4"/>
      <c r="E30" s="8"/>
      <c r="F30" s="4"/>
      <c r="G30" s="4"/>
      <c r="H30" s="4"/>
      <c r="J30" s="8" t="s">
        <v>149</v>
      </c>
      <c r="K30" s="11">
        <f>SUM(K29*12%)</f>
        <v>0</v>
      </c>
      <c r="L30" s="4"/>
    </row>
    <row r="31" spans="1:12">
      <c r="A31" s="4"/>
      <c r="B31" s="5"/>
      <c r="C31" s="4"/>
      <c r="D31" s="4"/>
      <c r="E31" s="8"/>
      <c r="F31" s="4"/>
      <c r="G31" s="4"/>
      <c r="H31" s="4"/>
      <c r="J31" s="8" t="s">
        <v>150</v>
      </c>
      <c r="K31" s="11" cm="1">
        <f t="array" ref="K31">SUM(I16:I20*18%)</f>
        <v>0</v>
      </c>
      <c r="L31" s="4"/>
    </row>
    <row r="32" spans="1:12">
      <c r="A32" s="4"/>
      <c r="B32" s="5"/>
      <c r="C32" s="4"/>
      <c r="D32" s="4"/>
      <c r="E32" s="8"/>
      <c r="F32" s="4"/>
      <c r="G32" s="4"/>
      <c r="H32" s="4"/>
      <c r="J32" s="6" t="s">
        <v>105</v>
      </c>
      <c r="K32" s="51">
        <f>SUM(K29:K31)</f>
        <v>0</v>
      </c>
      <c r="L32" s="4"/>
    </row>
    <row r="33" spans="1:12">
      <c r="A33" s="4"/>
      <c r="B33" s="5"/>
      <c r="C33" s="4"/>
      <c r="D33" s="4"/>
      <c r="E33" s="8"/>
      <c r="F33" s="4"/>
      <c r="G33" s="4"/>
      <c r="H33" s="4"/>
      <c r="J33" s="2"/>
      <c r="K33" s="4"/>
      <c r="L33" s="4"/>
    </row>
    <row r="34" spans="1:12">
      <c r="A34" s="4"/>
      <c r="B34" s="5"/>
      <c r="C34" s="4"/>
      <c r="D34" s="4"/>
      <c r="E34" s="8"/>
      <c r="F34" s="4"/>
      <c r="G34" s="4"/>
      <c r="H34" s="4"/>
      <c r="J34" s="6" t="s">
        <v>151</v>
      </c>
      <c r="K34" s="51">
        <f>SUM(K22*1.12)</f>
        <v>1299200.0000000002</v>
      </c>
      <c r="L34" s="4"/>
    </row>
    <row r="35" spans="1:12">
      <c r="A35" s="4"/>
      <c r="B35" s="5"/>
      <c r="C35" s="4"/>
      <c r="D35" s="4"/>
      <c r="E35" s="8"/>
      <c r="F35" s="4"/>
      <c r="G35" s="4"/>
      <c r="H35" s="4"/>
      <c r="I35" s="4"/>
      <c r="J35" s="4"/>
      <c r="K35" s="4"/>
      <c r="L35" s="4"/>
    </row>
    <row r="36" spans="1:12">
      <c r="B36" s="1"/>
      <c r="E36" s="2"/>
    </row>
    <row r="37" spans="1:12">
      <c r="B37" s="1"/>
      <c r="E37" s="2"/>
    </row>
    <row r="38" spans="1:12">
      <c r="B38" s="1"/>
      <c r="E38" s="2"/>
    </row>
    <row r="39" spans="1:12">
      <c r="B39" s="1"/>
      <c r="E39" s="2"/>
    </row>
    <row r="40" spans="1:12">
      <c r="B40" s="1"/>
      <c r="E40" s="2"/>
    </row>
    <row r="41" spans="1:12">
      <c r="B41" s="1"/>
      <c r="E41" s="2"/>
    </row>
    <row r="42" spans="1:12">
      <c r="B42" s="1"/>
      <c r="E42" s="2"/>
    </row>
    <row r="43" spans="1:12">
      <c r="B43" s="1"/>
      <c r="E43" s="2"/>
    </row>
    <row r="44" spans="1:12">
      <c r="B44" s="1"/>
      <c r="E44" s="2"/>
    </row>
    <row r="45" spans="1:12">
      <c r="B45" s="1"/>
      <c r="E45" s="2"/>
    </row>
    <row r="46" spans="1:12">
      <c r="B46" s="1"/>
      <c r="E46" s="2"/>
    </row>
    <row r="47" spans="1:12">
      <c r="B47" s="1"/>
      <c r="E47" s="2"/>
    </row>
    <row r="48" spans="1:12">
      <c r="B48" s="1"/>
      <c r="E48" s="2"/>
    </row>
    <row r="49" spans="2:5">
      <c r="B49" s="1"/>
      <c r="E49" s="2"/>
    </row>
    <row r="50" spans="2:5">
      <c r="B50" s="1"/>
      <c r="E50" s="2"/>
    </row>
    <row r="51" spans="2:5">
      <c r="B51" s="1"/>
      <c r="E51" s="2"/>
    </row>
    <row r="52" spans="2:5">
      <c r="B52" s="1"/>
      <c r="E52" s="2"/>
    </row>
    <row r="53" spans="2:5">
      <c r="B53" s="1"/>
      <c r="E53" s="2"/>
    </row>
    <row r="54" spans="2:5">
      <c r="B54" s="1"/>
      <c r="E54" s="2"/>
    </row>
    <row r="55" spans="2:5">
      <c r="B55" s="1"/>
      <c r="E55" s="2"/>
    </row>
    <row r="56" spans="2:5">
      <c r="B56" s="1"/>
      <c r="E56" s="2"/>
    </row>
    <row r="57" spans="2:5">
      <c r="B57" s="1"/>
      <c r="E57" s="2"/>
    </row>
    <row r="58" spans="2:5">
      <c r="B58" s="1"/>
      <c r="E58" s="2"/>
    </row>
    <row r="59" spans="2:5">
      <c r="B59" s="1"/>
      <c r="E59" s="2"/>
    </row>
    <row r="60" spans="2:5">
      <c r="B60" s="1"/>
      <c r="E60" s="2"/>
    </row>
    <row r="61" spans="2:5">
      <c r="B61" s="1"/>
      <c r="E61" s="2"/>
    </row>
    <row r="62" spans="2:5">
      <c r="B62" s="1"/>
      <c r="E62" s="2"/>
    </row>
    <row r="63" spans="2:5">
      <c r="B63" s="1"/>
      <c r="E63" s="2"/>
    </row>
    <row r="64" spans="2:5">
      <c r="B64" s="1"/>
      <c r="E64" s="2"/>
    </row>
    <row r="65" spans="2:5">
      <c r="B65" s="1"/>
      <c r="E65" s="2"/>
    </row>
    <row r="66" spans="2:5">
      <c r="B66" s="1"/>
      <c r="E66" s="2"/>
    </row>
    <row r="67" spans="2:5">
      <c r="B67" s="1"/>
      <c r="E67" s="2"/>
    </row>
    <row r="68" spans="2:5">
      <c r="B68" s="1"/>
      <c r="E68" s="2"/>
    </row>
    <row r="69" spans="2:5">
      <c r="B69" s="1"/>
      <c r="E69" s="2"/>
    </row>
    <row r="70" spans="2:5">
      <c r="B70" s="1"/>
      <c r="E70" s="2"/>
    </row>
    <row r="71" spans="2:5">
      <c r="B71" s="1"/>
      <c r="E71" s="2"/>
    </row>
    <row r="72" spans="2:5">
      <c r="B72" s="1"/>
      <c r="E72" s="2"/>
    </row>
    <row r="73" spans="2:5">
      <c r="B73" s="1"/>
      <c r="E73" s="2"/>
    </row>
    <row r="74" spans="2:5">
      <c r="B74" s="1"/>
      <c r="E74" s="2"/>
    </row>
    <row r="75" spans="2:5">
      <c r="B75" s="1"/>
      <c r="E75" s="2"/>
    </row>
    <row r="76" spans="2:5">
      <c r="B76" s="1"/>
      <c r="E76" s="2"/>
    </row>
    <row r="77" spans="2:5">
      <c r="B77" s="1"/>
      <c r="E77" s="2"/>
    </row>
    <row r="78" spans="2:5">
      <c r="B78" s="1"/>
      <c r="E78" s="2"/>
    </row>
    <row r="79" spans="2:5">
      <c r="B79" s="1"/>
      <c r="E79" s="2"/>
    </row>
    <row r="80" spans="2:5">
      <c r="B80" s="1"/>
      <c r="E8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437A-9756-43DE-9677-C3B5ED8871E1}">
  <dimension ref="A1:T80"/>
  <sheetViews>
    <sheetView topLeftCell="B6" workbookViewId="0">
      <selection activeCell="B6" sqref="B6"/>
    </sheetView>
  </sheetViews>
  <sheetFormatPr defaultRowHeight="14.45"/>
  <cols>
    <col min="1" max="1" width="4.85546875" customWidth="1"/>
    <col min="2" max="2" width="24" customWidth="1"/>
    <col min="3" max="3" width="32.140625" customWidth="1"/>
    <col min="4" max="4" width="41.7109375" customWidth="1"/>
    <col min="5" max="5" width="21.7109375" customWidth="1"/>
    <col min="6" max="6" width="19" customWidth="1"/>
    <col min="7" max="7" width="17.7109375" customWidth="1"/>
    <col min="8" max="8" width="21.28515625" customWidth="1"/>
    <col min="9" max="9" width="23.42578125" customWidth="1"/>
    <col min="10" max="10" width="20.85546875" customWidth="1"/>
    <col min="11" max="11" width="18.28515625" customWidth="1"/>
    <col min="12" max="12" width="19.42578125" customWidth="1"/>
    <col min="13" max="13" width="20.28515625" customWidth="1"/>
    <col min="14" max="14" width="21" customWidth="1"/>
    <col min="15" max="18" width="22.28515625" customWidth="1"/>
    <col min="19" max="19" width="24" customWidth="1"/>
    <col min="20" max="20" width="25.140625" customWidth="1"/>
  </cols>
  <sheetData>
    <row r="1" spans="1:20">
      <c r="A1" s="4"/>
      <c r="B1" s="5"/>
      <c r="C1" s="6" t="s">
        <v>0</v>
      </c>
      <c r="D1" s="7" t="s">
        <v>1</v>
      </c>
      <c r="E1" s="8"/>
      <c r="F1" s="4"/>
      <c r="G1" s="4"/>
      <c r="H1" s="4"/>
      <c r="I1" s="4"/>
      <c r="J1" s="4"/>
      <c r="K1" s="4"/>
      <c r="L1" s="4"/>
    </row>
    <row r="2" spans="1:20">
      <c r="A2" s="4"/>
      <c r="B2" s="5"/>
      <c r="C2" s="6" t="s">
        <v>2</v>
      </c>
      <c r="D2" s="4" t="s">
        <v>121</v>
      </c>
      <c r="E2" s="8"/>
      <c r="F2" s="4"/>
      <c r="G2" s="4"/>
      <c r="H2" s="4"/>
      <c r="I2" s="4"/>
      <c r="J2" s="4"/>
      <c r="K2" s="4"/>
      <c r="L2" s="4"/>
    </row>
    <row r="3" spans="1:20">
      <c r="A3" s="4"/>
      <c r="B3" s="5"/>
      <c r="C3" s="6" t="s">
        <v>4</v>
      </c>
      <c r="D3" s="9" t="s">
        <v>122</v>
      </c>
      <c r="E3" s="8"/>
      <c r="F3" s="4"/>
      <c r="G3" s="4"/>
      <c r="H3" s="4"/>
      <c r="I3" s="4"/>
      <c r="J3" s="4"/>
      <c r="K3" s="4"/>
      <c r="L3" s="4"/>
    </row>
    <row r="4" spans="1:20">
      <c r="A4" s="4"/>
      <c r="B4" s="5"/>
      <c r="C4" s="6" t="s">
        <v>6</v>
      </c>
      <c r="D4" s="10" t="s">
        <v>123</v>
      </c>
      <c r="E4" s="8"/>
      <c r="F4" s="4"/>
      <c r="G4" s="4"/>
      <c r="H4" s="4"/>
      <c r="I4" s="4"/>
      <c r="J4" s="4"/>
      <c r="K4" s="4"/>
      <c r="L4" s="4"/>
    </row>
    <row r="5" spans="1:20">
      <c r="A5" s="4"/>
      <c r="B5" s="5"/>
      <c r="C5" s="4"/>
      <c r="D5" s="4"/>
      <c r="E5" s="8"/>
      <c r="F5" s="4"/>
      <c r="G5" s="4"/>
      <c r="H5" s="103" t="s">
        <v>124</v>
      </c>
      <c r="I5" s="4"/>
      <c r="J5" s="4"/>
      <c r="K5" s="4"/>
      <c r="L5" s="4"/>
    </row>
    <row r="6" spans="1:20" ht="18.75" customHeight="1">
      <c r="A6" s="4"/>
      <c r="B6" s="54" t="s">
        <v>125</v>
      </c>
      <c r="C6" s="55" t="s">
        <v>8</v>
      </c>
      <c r="D6" s="55" t="s">
        <v>9</v>
      </c>
      <c r="E6" s="55" t="s">
        <v>126</v>
      </c>
      <c r="F6" s="55" t="s">
        <v>11</v>
      </c>
      <c r="G6" s="55" t="s">
        <v>12</v>
      </c>
      <c r="H6" s="55" t="s">
        <v>13</v>
      </c>
      <c r="I6" s="78" t="s">
        <v>127</v>
      </c>
      <c r="J6" s="78" t="s">
        <v>128</v>
      </c>
      <c r="K6" s="56" t="s">
        <v>17</v>
      </c>
      <c r="L6" s="57" t="s">
        <v>129</v>
      </c>
      <c r="M6" s="101" t="s">
        <v>130</v>
      </c>
      <c r="N6" s="102" t="s">
        <v>131</v>
      </c>
      <c r="O6" s="106" t="s">
        <v>132</v>
      </c>
      <c r="P6" s="106" t="s">
        <v>133</v>
      </c>
      <c r="Q6" s="134" t="s">
        <v>134</v>
      </c>
      <c r="R6" s="134" t="s">
        <v>134</v>
      </c>
      <c r="S6" s="111" t="s">
        <v>135</v>
      </c>
      <c r="T6" s="111" t="s">
        <v>136</v>
      </c>
    </row>
    <row r="7" spans="1:20">
      <c r="A7" s="4"/>
      <c r="B7" s="19" t="s">
        <v>137</v>
      </c>
      <c r="C7" s="20"/>
      <c r="D7" s="21"/>
      <c r="E7" s="22"/>
      <c r="F7" s="20"/>
      <c r="G7" s="50"/>
      <c r="H7" s="21"/>
      <c r="I7" s="23"/>
      <c r="J7" s="24"/>
      <c r="K7" s="25"/>
      <c r="L7" s="81">
        <f>SUM(K8:K8)/K22</f>
        <v>0.28448275862068967</v>
      </c>
    </row>
    <row r="8" spans="1:20" ht="215.25" customHeight="1">
      <c r="A8" s="4"/>
      <c r="B8" s="80"/>
      <c r="C8" s="135" t="s">
        <v>138</v>
      </c>
      <c r="D8" s="86" t="s">
        <v>139</v>
      </c>
      <c r="E8" s="84" t="e">
        <f>K8/G8</f>
        <v>#REF!</v>
      </c>
      <c r="F8" s="85" t="e">
        <f>#REF!</f>
        <v>#REF!</v>
      </c>
      <c r="G8" s="107" t="e">
        <f>#REF!</f>
        <v>#REF!</v>
      </c>
      <c r="H8" s="98" t="s">
        <v>140</v>
      </c>
      <c r="I8" s="79">
        <v>170000</v>
      </c>
      <c r="J8" s="79">
        <v>160000</v>
      </c>
      <c r="K8" s="83">
        <f>SUM(I8:J8)</f>
        <v>330000</v>
      </c>
      <c r="M8" s="112">
        <v>7200000</v>
      </c>
      <c r="N8" s="112">
        <v>8500000</v>
      </c>
      <c r="O8" s="115">
        <v>2.5</v>
      </c>
      <c r="P8" s="115">
        <v>3</v>
      </c>
      <c r="Q8" s="94">
        <v>785714</v>
      </c>
      <c r="R8" s="94">
        <v>859375</v>
      </c>
      <c r="S8" s="95">
        <f>Q8/M8</f>
        <v>0.10912694444444444</v>
      </c>
      <c r="T8" s="95">
        <f>Q8/N8</f>
        <v>9.2436941176470583E-2</v>
      </c>
    </row>
    <row r="9" spans="1:20">
      <c r="A9" s="4"/>
      <c r="B9" s="44"/>
      <c r="C9" s="45"/>
      <c r="D9" s="87"/>
      <c r="E9" s="84"/>
      <c r="F9" s="85"/>
      <c r="G9" s="107"/>
      <c r="H9" s="98"/>
      <c r="I9" s="79"/>
      <c r="J9" s="79"/>
      <c r="K9" s="83">
        <f t="shared" ref="K9:K14" si="0">SUM(I9:J9)</f>
        <v>0</v>
      </c>
      <c r="O9" s="114"/>
      <c r="P9" s="114"/>
      <c r="Q9" s="95"/>
      <c r="R9" s="95"/>
    </row>
    <row r="10" spans="1:20">
      <c r="A10" s="4"/>
      <c r="B10" s="16" t="s">
        <v>141</v>
      </c>
      <c r="C10" s="96"/>
      <c r="D10" s="18"/>
      <c r="E10" s="17"/>
      <c r="F10" s="17"/>
      <c r="G10" s="108"/>
      <c r="H10" s="99"/>
      <c r="I10" s="17"/>
      <c r="J10" s="18"/>
      <c r="K10" s="83">
        <f t="shared" si="0"/>
        <v>0</v>
      </c>
      <c r="L10" s="81">
        <f>SUM(K11:K11)/K22</f>
        <v>0.2413793103448276</v>
      </c>
      <c r="O10" s="114"/>
      <c r="P10" s="114"/>
      <c r="Q10" s="95"/>
      <c r="R10" s="95"/>
    </row>
    <row r="11" spans="1:20" ht="197.25" customHeight="1">
      <c r="A11" s="4"/>
      <c r="B11" s="88"/>
      <c r="C11" s="136" t="s">
        <v>138</v>
      </c>
      <c r="D11" s="87" t="s">
        <v>142</v>
      </c>
      <c r="E11" s="126" t="e">
        <f>K11/G11</f>
        <v>#REF!</v>
      </c>
      <c r="F11" s="127" t="e">
        <f>#REF!</f>
        <v>#REF!</v>
      </c>
      <c r="G11" s="128" t="e">
        <f>#REF!</f>
        <v>#REF!</v>
      </c>
      <c r="H11" s="98" t="s">
        <v>140</v>
      </c>
      <c r="I11" s="79">
        <v>150000</v>
      </c>
      <c r="J11" s="79">
        <v>130000</v>
      </c>
      <c r="K11" s="83">
        <f>SUM(I11:J11)</f>
        <v>280000</v>
      </c>
      <c r="L11" s="4"/>
      <c r="M11" s="113" t="s">
        <v>143</v>
      </c>
      <c r="N11" s="113" t="s">
        <v>143</v>
      </c>
      <c r="O11" s="116">
        <v>1.3</v>
      </c>
      <c r="P11" s="116">
        <v>1.8</v>
      </c>
      <c r="Q11" s="94" t="e">
        <f>E11/O11</f>
        <v>#REF!</v>
      </c>
      <c r="R11" s="94" t="e">
        <f>E11/P11</f>
        <v>#REF!</v>
      </c>
    </row>
    <row r="12" spans="1:20">
      <c r="A12" s="4"/>
      <c r="B12" s="117"/>
      <c r="C12" s="119"/>
      <c r="D12" s="118"/>
      <c r="E12" s="93"/>
      <c r="F12" s="130"/>
      <c r="G12" s="109"/>
      <c r="H12" s="98"/>
      <c r="I12" s="79"/>
      <c r="J12" s="79"/>
      <c r="K12" s="83">
        <f t="shared" si="0"/>
        <v>0</v>
      </c>
      <c r="L12" s="4"/>
      <c r="M12" s="113"/>
      <c r="N12" s="113"/>
      <c r="O12" s="116"/>
      <c r="P12" s="116"/>
      <c r="Q12" s="95"/>
      <c r="R12" s="95"/>
    </row>
    <row r="13" spans="1:20">
      <c r="A13" s="4"/>
      <c r="B13" s="19" t="s">
        <v>144</v>
      </c>
      <c r="C13" s="97"/>
      <c r="D13" s="21"/>
      <c r="E13" s="91"/>
      <c r="F13" s="89"/>
      <c r="G13" s="110"/>
      <c r="H13" s="100"/>
      <c r="I13" s="90"/>
      <c r="J13" s="90"/>
      <c r="K13" s="83">
        <f t="shared" si="0"/>
        <v>0</v>
      </c>
      <c r="L13" s="81">
        <f>SUM(K14:K14)/K22</f>
        <v>0.47413793103448276</v>
      </c>
      <c r="O13" s="114"/>
      <c r="P13" s="114"/>
      <c r="Q13" s="95"/>
      <c r="R13" s="95"/>
    </row>
    <row r="14" spans="1:20" ht="231" customHeight="1">
      <c r="A14" s="4"/>
      <c r="B14" s="117"/>
      <c r="C14" s="137" t="s">
        <v>138</v>
      </c>
      <c r="D14" s="92" t="s">
        <v>145</v>
      </c>
      <c r="E14" s="126">
        <f>K14/G14</f>
        <v>1309523.8095238095</v>
      </c>
      <c r="F14" s="82" t="e">
        <f>#REF!</f>
        <v>#REF!</v>
      </c>
      <c r="G14" s="109">
        <v>0.42</v>
      </c>
      <c r="H14" s="98" t="s">
        <v>140</v>
      </c>
      <c r="I14" s="124">
        <v>330000</v>
      </c>
      <c r="J14" s="79">
        <v>220000</v>
      </c>
      <c r="K14" s="83">
        <f t="shared" si="0"/>
        <v>550000</v>
      </c>
      <c r="L14" s="53"/>
      <c r="M14" s="112">
        <v>8951000</v>
      </c>
      <c r="N14" s="112">
        <v>10941000</v>
      </c>
      <c r="O14" s="114">
        <v>3.5</v>
      </c>
      <c r="P14" s="94">
        <v>4</v>
      </c>
      <c r="Q14" s="94">
        <v>1388889</v>
      </c>
      <c r="R14" s="94">
        <v>1923077</v>
      </c>
      <c r="S14" s="95">
        <f>Q14/M14</f>
        <v>0.15516579153167243</v>
      </c>
      <c r="T14" s="95">
        <f>Q14/N14</f>
        <v>0.12694351521798738</v>
      </c>
    </row>
    <row r="15" spans="1:20">
      <c r="A15" s="4"/>
      <c r="B15" s="19" t="s">
        <v>73</v>
      </c>
      <c r="C15" s="50"/>
      <c r="D15" s="21"/>
      <c r="E15" s="22"/>
      <c r="F15" s="20"/>
      <c r="G15" s="20"/>
      <c r="H15" s="21"/>
      <c r="I15" s="26"/>
      <c r="J15" s="26"/>
      <c r="K15" s="25"/>
      <c r="L15" s="4"/>
      <c r="O15" s="94"/>
      <c r="P15" s="94"/>
      <c r="Q15" s="95"/>
      <c r="R15" s="95"/>
    </row>
    <row r="16" spans="1:20">
      <c r="A16" s="4"/>
      <c r="B16" s="48"/>
      <c r="C16" s="36"/>
      <c r="D16" s="31"/>
      <c r="E16" s="32"/>
      <c r="F16" s="131"/>
      <c r="G16" s="29"/>
      <c r="H16" s="35"/>
      <c r="I16" s="38"/>
      <c r="J16" s="29"/>
      <c r="K16" s="41">
        <f t="shared" ref="K16:K21" si="1">SUM(I16:J16)</f>
        <v>0</v>
      </c>
      <c r="L16" s="4"/>
    </row>
    <row r="17" spans="1:12">
      <c r="A17" s="4"/>
      <c r="B17" s="49"/>
      <c r="C17" s="36"/>
      <c r="D17" s="30"/>
      <c r="E17" s="33"/>
      <c r="F17" s="132"/>
      <c r="G17" s="5"/>
      <c r="H17" s="36"/>
      <c r="I17" s="39"/>
      <c r="J17" s="5"/>
      <c r="K17" s="42">
        <f t="shared" si="1"/>
        <v>0</v>
      </c>
      <c r="L17" s="4"/>
    </row>
    <row r="18" spans="1:12">
      <c r="A18" s="4"/>
      <c r="B18" s="49"/>
      <c r="C18" s="36"/>
      <c r="D18" s="30"/>
      <c r="E18" s="33"/>
      <c r="F18" s="132"/>
      <c r="G18" s="5"/>
      <c r="H18" s="36"/>
      <c r="I18" s="39"/>
      <c r="J18" s="5"/>
      <c r="K18" s="42">
        <f t="shared" si="1"/>
        <v>0</v>
      </c>
      <c r="L18" s="4"/>
    </row>
    <row r="19" spans="1:12">
      <c r="A19" s="4"/>
      <c r="B19" s="49"/>
      <c r="C19" s="36"/>
      <c r="D19" s="30"/>
      <c r="E19" s="33"/>
      <c r="F19" s="132"/>
      <c r="G19" s="5"/>
      <c r="H19" s="36"/>
      <c r="I19" s="39"/>
      <c r="J19" s="5"/>
      <c r="K19" s="42">
        <f t="shared" si="1"/>
        <v>0</v>
      </c>
      <c r="L19" s="4"/>
    </row>
    <row r="20" spans="1:12">
      <c r="A20" s="4"/>
      <c r="B20" s="49"/>
      <c r="C20" s="36"/>
      <c r="D20" s="30"/>
      <c r="E20" s="33"/>
      <c r="F20" s="132"/>
      <c r="G20" s="5"/>
      <c r="H20" s="36"/>
      <c r="I20" s="39"/>
      <c r="J20" s="5"/>
      <c r="K20" s="42">
        <f t="shared" si="1"/>
        <v>0</v>
      </c>
      <c r="L20" s="4"/>
    </row>
    <row r="21" spans="1:12">
      <c r="A21" s="4"/>
      <c r="B21" s="27"/>
      <c r="C21" s="47"/>
      <c r="D21" s="47"/>
      <c r="E21" s="34"/>
      <c r="F21" s="133"/>
      <c r="G21" s="28"/>
      <c r="H21" s="37"/>
      <c r="I21" s="40"/>
      <c r="J21" s="28"/>
      <c r="K21" s="43">
        <f t="shared" si="1"/>
        <v>0</v>
      </c>
      <c r="L21" s="4"/>
    </row>
    <row r="22" spans="1:12">
      <c r="A22" s="4"/>
      <c r="B22" s="58" t="s">
        <v>146</v>
      </c>
      <c r="C22" s="59" t="s">
        <v>99</v>
      </c>
      <c r="D22" s="60"/>
      <c r="E22" s="61"/>
      <c r="F22" s="60"/>
      <c r="G22" s="60"/>
      <c r="H22" s="60"/>
      <c r="I22" s="62">
        <f>SUM(I8:I14)</f>
        <v>650000</v>
      </c>
      <c r="J22" s="62">
        <f>SUM(J8:J14)</f>
        <v>510000</v>
      </c>
      <c r="K22" s="63">
        <f>SUM(K8:K15)</f>
        <v>1160000</v>
      </c>
      <c r="L22" s="11">
        <f>SUM(I22:J22)</f>
        <v>1160000</v>
      </c>
    </row>
    <row r="23" spans="1:12">
      <c r="A23" s="4"/>
      <c r="B23" s="58"/>
      <c r="C23" s="64" t="s">
        <v>102</v>
      </c>
      <c r="D23" s="65"/>
      <c r="E23" s="66"/>
      <c r="F23" s="65"/>
      <c r="G23" s="65"/>
      <c r="H23" s="65"/>
      <c r="I23" s="67">
        <f>SUM(I16:I21)</f>
        <v>0</v>
      </c>
      <c r="J23" s="67">
        <f>SUM(J16:J20)</f>
        <v>0</v>
      </c>
      <c r="K23" s="68">
        <f>SUM(K16:K21)</f>
        <v>0</v>
      </c>
      <c r="L23" s="11"/>
    </row>
    <row r="24" spans="1:12">
      <c r="A24" s="4"/>
      <c r="B24" s="58"/>
      <c r="C24" s="69" t="s">
        <v>147</v>
      </c>
      <c r="D24" s="65"/>
      <c r="E24" s="70"/>
      <c r="F24" s="71"/>
      <c r="G24" s="71"/>
      <c r="H24" s="65"/>
      <c r="I24" s="67">
        <f>SUM(I22:I23)</f>
        <v>650000</v>
      </c>
      <c r="J24" s="67">
        <f>SUM(J22:J23)</f>
        <v>510000</v>
      </c>
      <c r="K24" s="68">
        <f>SUM(K22:K23)</f>
        <v>1160000</v>
      </c>
      <c r="L24" s="11"/>
    </row>
    <row r="25" spans="1:12">
      <c r="A25" s="4"/>
      <c r="B25" s="58"/>
      <c r="C25" s="72" t="s">
        <v>100</v>
      </c>
      <c r="D25" s="60"/>
      <c r="E25" s="73">
        <v>0.12</v>
      </c>
      <c r="F25" s="74"/>
      <c r="G25" s="74"/>
      <c r="H25" s="60"/>
      <c r="I25" s="62">
        <f>SUM(I24*$E25)</f>
        <v>78000</v>
      </c>
      <c r="J25" s="62">
        <f>SUM(J24*$E25)</f>
        <v>61200</v>
      </c>
      <c r="K25" s="63">
        <f>SUM(K24*$E25)</f>
        <v>139200</v>
      </c>
      <c r="L25" s="11">
        <f>SUM(I25:J25)</f>
        <v>139200</v>
      </c>
    </row>
    <row r="26" spans="1:12">
      <c r="A26" s="4"/>
      <c r="B26" s="58"/>
      <c r="C26" s="69" t="s">
        <v>103</v>
      </c>
      <c r="D26" s="65"/>
      <c r="E26" s="70">
        <v>0.18</v>
      </c>
      <c r="F26" s="71"/>
      <c r="G26" s="71"/>
      <c r="H26" s="65"/>
      <c r="I26" s="67">
        <f>SUM(I16:I20)*E26</f>
        <v>0</v>
      </c>
      <c r="J26" s="67">
        <f>SUM(J16:J20)*E26</f>
        <v>0</v>
      </c>
      <c r="K26" s="68">
        <f>SUM(I26:J26)</f>
        <v>0</v>
      </c>
      <c r="L26" s="4"/>
    </row>
    <row r="27" spans="1:12" ht="16.149999999999999">
      <c r="A27" s="4"/>
      <c r="B27" s="75"/>
      <c r="C27" s="69" t="s">
        <v>148</v>
      </c>
      <c r="D27" s="65"/>
      <c r="E27" s="66"/>
      <c r="F27" s="65"/>
      <c r="G27" s="65"/>
      <c r="H27" s="65"/>
      <c r="I27" s="76">
        <f>SUM(I24:I26)</f>
        <v>728000</v>
      </c>
      <c r="J27" s="76">
        <f>SUM(J24:J26)</f>
        <v>571200</v>
      </c>
      <c r="K27" s="77">
        <f>SUM(K24:K26)</f>
        <v>1299200</v>
      </c>
      <c r="L27" s="12">
        <f>SUM(I27:J27)</f>
        <v>1299200</v>
      </c>
    </row>
    <row r="28" spans="1:12">
      <c r="A28" s="4"/>
      <c r="B28" s="5"/>
      <c r="C28" s="4"/>
      <c r="D28" s="4"/>
      <c r="E28" s="6"/>
      <c r="F28" s="13"/>
      <c r="G28" s="14"/>
      <c r="H28" s="4"/>
      <c r="I28" s="4"/>
      <c r="J28" s="4"/>
      <c r="K28" s="4"/>
      <c r="L28" s="4"/>
    </row>
    <row r="29" spans="1:12">
      <c r="A29" s="4"/>
      <c r="B29" s="52"/>
      <c r="C29" s="4"/>
      <c r="D29" s="4"/>
      <c r="E29" s="8"/>
      <c r="F29" s="11"/>
      <c r="G29" s="15"/>
      <c r="H29" s="4"/>
      <c r="J29" s="8" t="s">
        <v>102</v>
      </c>
      <c r="K29" s="11">
        <f>SUM(I16:I21)</f>
        <v>0</v>
      </c>
      <c r="L29" s="4"/>
    </row>
    <row r="30" spans="1:12">
      <c r="A30" s="4"/>
      <c r="B30" s="52"/>
      <c r="C30" s="4"/>
      <c r="D30" s="4"/>
      <c r="E30" s="8"/>
      <c r="F30" s="4"/>
      <c r="G30" s="4"/>
      <c r="H30" s="4"/>
      <c r="J30" s="8" t="s">
        <v>149</v>
      </c>
      <c r="K30" s="11">
        <f>SUM(K29*12%)</f>
        <v>0</v>
      </c>
      <c r="L30" s="4"/>
    </row>
    <row r="31" spans="1:12">
      <c r="A31" s="4"/>
      <c r="B31" s="5"/>
      <c r="C31" s="4"/>
      <c r="D31" s="4"/>
      <c r="E31" s="8"/>
      <c r="F31" s="4"/>
      <c r="G31" s="4"/>
      <c r="H31" s="4"/>
      <c r="J31" s="8" t="s">
        <v>150</v>
      </c>
      <c r="K31" s="11" cm="1">
        <f t="array" ref="K31">SUM(I16:I20*18%)</f>
        <v>0</v>
      </c>
      <c r="L31" s="4"/>
    </row>
    <row r="32" spans="1:12">
      <c r="A32" s="4"/>
      <c r="B32" s="5"/>
      <c r="C32" s="4"/>
      <c r="D32" s="4"/>
      <c r="E32" s="8"/>
      <c r="F32" s="4"/>
      <c r="G32" s="4"/>
      <c r="H32" s="4"/>
      <c r="J32" s="6" t="s">
        <v>105</v>
      </c>
      <c r="K32" s="51">
        <f>SUM(K29:K31)</f>
        <v>0</v>
      </c>
      <c r="L32" s="4"/>
    </row>
    <row r="33" spans="1:12">
      <c r="A33" s="4"/>
      <c r="B33" s="5"/>
      <c r="C33" s="4"/>
      <c r="D33" s="4"/>
      <c r="E33" s="8"/>
      <c r="F33" s="4"/>
      <c r="G33" s="4"/>
      <c r="H33" s="4"/>
      <c r="J33" s="2"/>
      <c r="K33" s="4"/>
      <c r="L33" s="4"/>
    </row>
    <row r="34" spans="1:12">
      <c r="A34" s="4"/>
      <c r="B34" s="5"/>
      <c r="C34" s="4"/>
      <c r="D34" s="4"/>
      <c r="E34" s="8"/>
      <c r="F34" s="4"/>
      <c r="G34" s="4"/>
      <c r="H34" s="4"/>
      <c r="J34" s="6" t="s">
        <v>151</v>
      </c>
      <c r="K34" s="51">
        <f>SUM(K22*1.12)</f>
        <v>1299200.0000000002</v>
      </c>
      <c r="L34" s="4"/>
    </row>
    <row r="35" spans="1:12">
      <c r="A35" s="4"/>
      <c r="B35" s="5"/>
      <c r="C35" s="4"/>
      <c r="D35" s="4"/>
      <c r="E35" s="8"/>
      <c r="F35" s="4"/>
      <c r="G35" s="4"/>
      <c r="H35" s="4"/>
      <c r="I35" s="4"/>
      <c r="J35" s="4"/>
      <c r="K35" s="4"/>
      <c r="L35" s="4"/>
    </row>
    <row r="36" spans="1:12">
      <c r="B36" s="1"/>
      <c r="E36" s="2"/>
    </row>
    <row r="37" spans="1:12">
      <c r="B37" s="1"/>
      <c r="E37" s="2"/>
    </row>
    <row r="38" spans="1:12">
      <c r="B38" s="1"/>
      <c r="E38" s="2"/>
    </row>
    <row r="39" spans="1:12">
      <c r="B39" s="1"/>
      <c r="E39" s="2"/>
    </row>
    <row r="40" spans="1:12">
      <c r="B40" s="1"/>
      <c r="E40" s="2"/>
    </row>
    <row r="41" spans="1:12">
      <c r="B41" s="1"/>
      <c r="E41" s="2"/>
    </row>
    <row r="42" spans="1:12">
      <c r="B42" s="1"/>
      <c r="E42" s="2"/>
    </row>
    <row r="43" spans="1:12">
      <c r="B43" s="1"/>
      <c r="E43" s="2"/>
    </row>
    <row r="44" spans="1:12">
      <c r="B44" s="1"/>
      <c r="E44" s="2"/>
    </row>
    <row r="45" spans="1:12">
      <c r="B45" s="1"/>
      <c r="E45" s="2"/>
    </row>
    <row r="46" spans="1:12">
      <c r="B46" s="1"/>
      <c r="E46" s="2"/>
    </row>
    <row r="47" spans="1:12">
      <c r="B47" s="1"/>
      <c r="E47" s="2"/>
    </row>
    <row r="48" spans="1:12">
      <c r="B48" s="1"/>
      <c r="E48" s="2"/>
    </row>
    <row r="49" spans="2:5">
      <c r="B49" s="1"/>
      <c r="E49" s="2"/>
    </row>
    <row r="50" spans="2:5">
      <c r="B50" s="1"/>
      <c r="E50" s="2"/>
    </row>
    <row r="51" spans="2:5">
      <c r="B51" s="1"/>
      <c r="E51" s="2"/>
    </row>
    <row r="52" spans="2:5">
      <c r="B52" s="1"/>
      <c r="E52" s="2"/>
    </row>
    <row r="53" spans="2:5">
      <c r="B53" s="1"/>
      <c r="E53" s="2"/>
    </row>
    <row r="54" spans="2:5">
      <c r="B54" s="1"/>
      <c r="E54" s="2"/>
    </row>
    <row r="55" spans="2:5">
      <c r="B55" s="1"/>
      <c r="E55" s="2"/>
    </row>
    <row r="56" spans="2:5">
      <c r="B56" s="1"/>
      <c r="E56" s="2"/>
    </row>
    <row r="57" spans="2:5">
      <c r="B57" s="1"/>
      <c r="E57" s="2"/>
    </row>
    <row r="58" spans="2:5">
      <c r="B58" s="1"/>
      <c r="E58" s="2"/>
    </row>
    <row r="59" spans="2:5">
      <c r="B59" s="1"/>
      <c r="E59" s="2"/>
    </row>
    <row r="60" spans="2:5">
      <c r="B60" s="1"/>
      <c r="E60" s="2"/>
    </row>
    <row r="61" spans="2:5">
      <c r="B61" s="1"/>
      <c r="E61" s="2"/>
    </row>
    <row r="62" spans="2:5">
      <c r="B62" s="1"/>
      <c r="E62" s="2"/>
    </row>
    <row r="63" spans="2:5">
      <c r="B63" s="1"/>
      <c r="E63" s="2"/>
    </row>
    <row r="64" spans="2:5">
      <c r="B64" s="1"/>
      <c r="E64" s="2"/>
    </row>
    <row r="65" spans="2:5">
      <c r="B65" s="1"/>
      <c r="E65" s="2"/>
    </row>
    <row r="66" spans="2:5">
      <c r="B66" s="1"/>
      <c r="E66" s="2"/>
    </row>
    <row r="67" spans="2:5">
      <c r="B67" s="1"/>
      <c r="E67" s="2"/>
    </row>
    <row r="68" spans="2:5">
      <c r="B68" s="1"/>
      <c r="E68" s="2"/>
    </row>
    <row r="69" spans="2:5">
      <c r="B69" s="1"/>
      <c r="E69" s="2"/>
    </row>
    <row r="70" spans="2:5">
      <c r="B70" s="1"/>
      <c r="E70" s="2"/>
    </row>
    <row r="71" spans="2:5">
      <c r="B71" s="1"/>
      <c r="E71" s="2"/>
    </row>
    <row r="72" spans="2:5">
      <c r="B72" s="1"/>
      <c r="E72" s="2"/>
    </row>
    <row r="73" spans="2:5">
      <c r="B73" s="1"/>
      <c r="E73" s="2"/>
    </row>
    <row r="74" spans="2:5">
      <c r="B74" s="1"/>
      <c r="E74" s="2"/>
    </row>
    <row r="75" spans="2:5">
      <c r="B75" s="1"/>
      <c r="E75" s="2"/>
    </row>
    <row r="76" spans="2:5">
      <c r="B76" s="1"/>
      <c r="E76" s="2"/>
    </row>
    <row r="77" spans="2:5">
      <c r="B77" s="1"/>
      <c r="E77" s="2"/>
    </row>
    <row r="78" spans="2:5">
      <c r="B78" s="1"/>
      <c r="E78" s="2"/>
    </row>
    <row r="79" spans="2:5">
      <c r="B79" s="1"/>
      <c r="E79" s="2"/>
    </row>
    <row r="80" spans="2:5">
      <c r="B80" s="1"/>
      <c r="E8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BDA8-9841-455C-A5FF-3A2A7747DA63}">
  <dimension ref="A1:T80"/>
  <sheetViews>
    <sheetView topLeftCell="F15" workbookViewId="0">
      <selection activeCell="L16" sqref="L16"/>
    </sheetView>
  </sheetViews>
  <sheetFormatPr defaultRowHeight="14.45"/>
  <cols>
    <col min="1" max="1" width="28.7109375" customWidth="1"/>
    <col min="2" max="2" width="24" customWidth="1"/>
    <col min="3" max="3" width="32.140625" customWidth="1"/>
    <col min="4" max="4" width="41.7109375" customWidth="1"/>
    <col min="5" max="5" width="21.7109375" customWidth="1"/>
    <col min="6" max="6" width="19" customWidth="1"/>
    <col min="7" max="7" width="17.7109375" customWidth="1"/>
    <col min="8" max="8" width="21.28515625" customWidth="1"/>
    <col min="9" max="9" width="23.42578125" customWidth="1"/>
    <col min="10" max="10" width="20.85546875" customWidth="1"/>
    <col min="11" max="11" width="18.28515625" customWidth="1"/>
    <col min="12" max="12" width="19.42578125" customWidth="1"/>
    <col min="13" max="13" width="20.28515625" customWidth="1"/>
    <col min="14" max="14" width="21" customWidth="1"/>
    <col min="15" max="18" width="22.28515625" customWidth="1"/>
    <col min="19" max="19" width="24" customWidth="1"/>
    <col min="20" max="20" width="25.140625" customWidth="1"/>
  </cols>
  <sheetData>
    <row r="1" spans="1:20">
      <c r="A1" s="4"/>
      <c r="B1" s="5"/>
      <c r="C1" s="6" t="s">
        <v>0</v>
      </c>
      <c r="D1" s="7" t="s">
        <v>1</v>
      </c>
      <c r="E1" s="8"/>
      <c r="F1" s="4"/>
      <c r="G1" s="4"/>
      <c r="H1" s="4"/>
      <c r="I1" s="4"/>
      <c r="J1" s="4"/>
      <c r="K1" s="4"/>
      <c r="L1" s="4"/>
    </row>
    <row r="2" spans="1:20">
      <c r="A2" s="4"/>
      <c r="B2" s="5"/>
      <c r="C2" s="6" t="s">
        <v>2</v>
      </c>
      <c r="D2" s="4" t="s">
        <v>121</v>
      </c>
      <c r="E2" s="8"/>
      <c r="F2" s="4"/>
      <c r="G2" s="4"/>
      <c r="H2" s="4"/>
      <c r="I2" s="4"/>
      <c r="J2" s="4"/>
      <c r="K2" s="4"/>
      <c r="L2" s="4"/>
    </row>
    <row r="3" spans="1:20">
      <c r="A3" s="4"/>
      <c r="B3" s="5"/>
      <c r="C3" s="6" t="s">
        <v>4</v>
      </c>
      <c r="D3" s="9" t="s">
        <v>122</v>
      </c>
      <c r="E3" s="8"/>
      <c r="F3" s="4"/>
      <c r="G3" s="4"/>
      <c r="H3" s="4"/>
      <c r="I3" s="4"/>
      <c r="J3" s="4"/>
      <c r="K3" s="4"/>
      <c r="L3" s="4"/>
    </row>
    <row r="4" spans="1:20">
      <c r="A4" s="4"/>
      <c r="B4" s="5"/>
      <c r="C4" s="6" t="s">
        <v>6</v>
      </c>
      <c r="D4" s="10" t="s">
        <v>123</v>
      </c>
      <c r="E4" s="8"/>
      <c r="F4" s="4"/>
      <c r="G4" s="4"/>
      <c r="H4" s="4"/>
      <c r="I4" s="4"/>
      <c r="J4" s="4"/>
      <c r="K4" s="4"/>
      <c r="L4" s="4"/>
    </row>
    <row r="5" spans="1:20">
      <c r="A5" s="4"/>
      <c r="B5" s="5"/>
      <c r="C5" s="4"/>
      <c r="D5" s="4"/>
      <c r="E5" s="8"/>
      <c r="F5" s="4"/>
      <c r="G5" s="4"/>
      <c r="H5" s="103" t="s">
        <v>124</v>
      </c>
      <c r="I5" s="4"/>
      <c r="J5" s="4"/>
      <c r="K5" s="4"/>
      <c r="L5" s="4"/>
    </row>
    <row r="6" spans="1:20" ht="18.75" customHeight="1">
      <c r="A6" s="4"/>
      <c r="B6" s="54" t="s">
        <v>125</v>
      </c>
      <c r="C6" s="55" t="s">
        <v>8</v>
      </c>
      <c r="D6" s="55" t="s">
        <v>9</v>
      </c>
      <c r="E6" s="55" t="s">
        <v>126</v>
      </c>
      <c r="F6" s="55" t="s">
        <v>11</v>
      </c>
      <c r="G6" s="55" t="s">
        <v>12</v>
      </c>
      <c r="H6" s="55" t="s">
        <v>13</v>
      </c>
      <c r="I6" s="78" t="s">
        <v>127</v>
      </c>
      <c r="J6" s="78" t="s">
        <v>128</v>
      </c>
      <c r="K6" s="56" t="s">
        <v>17</v>
      </c>
      <c r="L6" s="57" t="s">
        <v>129</v>
      </c>
      <c r="M6" s="101" t="s">
        <v>130</v>
      </c>
      <c r="N6" s="102" t="s">
        <v>131</v>
      </c>
      <c r="O6" s="106" t="s">
        <v>132</v>
      </c>
      <c r="P6" s="106" t="s">
        <v>133</v>
      </c>
      <c r="Q6" s="134" t="s">
        <v>134</v>
      </c>
      <c r="R6" s="134" t="s">
        <v>134</v>
      </c>
      <c r="S6" s="111" t="s">
        <v>135</v>
      </c>
      <c r="T6" s="111" t="s">
        <v>136</v>
      </c>
    </row>
    <row r="7" spans="1:20">
      <c r="A7" s="4"/>
      <c r="B7" s="19" t="s">
        <v>137</v>
      </c>
      <c r="C7" s="20"/>
      <c r="D7" s="21"/>
      <c r="E7" s="22"/>
      <c r="F7" s="20"/>
      <c r="G7" s="50"/>
      <c r="H7" s="21"/>
      <c r="I7" s="23"/>
      <c r="J7" s="24"/>
      <c r="K7" s="25"/>
      <c r="L7" s="81">
        <f>SUM(K8:K8)/K22</f>
        <v>0.28448275862068967</v>
      </c>
    </row>
    <row r="8" spans="1:20" ht="215.25" customHeight="1">
      <c r="A8" s="4"/>
      <c r="B8" s="80"/>
      <c r="C8" s="135" t="s">
        <v>138</v>
      </c>
      <c r="D8" s="86" t="s">
        <v>139</v>
      </c>
      <c r="E8" s="84" t="e">
        <f>K8/G8</f>
        <v>#REF!</v>
      </c>
      <c r="F8" s="85" t="e">
        <f>#REF!</f>
        <v>#REF!</v>
      </c>
      <c r="G8" s="107" t="e">
        <f>#REF!</f>
        <v>#REF!</v>
      </c>
      <c r="H8" s="98" t="s">
        <v>140</v>
      </c>
      <c r="I8" s="79">
        <v>170000</v>
      </c>
      <c r="J8" s="79">
        <v>160000</v>
      </c>
      <c r="K8" s="83">
        <f>SUM(I8:J8)</f>
        <v>330000</v>
      </c>
      <c r="M8" s="112">
        <v>7200000</v>
      </c>
      <c r="N8" s="112">
        <v>8500000</v>
      </c>
      <c r="O8" s="115">
        <v>1.71</v>
      </c>
      <c r="P8" s="115"/>
      <c r="Q8" s="94">
        <v>1091270</v>
      </c>
      <c r="R8" s="94">
        <v>1191406</v>
      </c>
      <c r="S8" s="95">
        <f>Q8/M8</f>
        <v>0.15156527777777778</v>
      </c>
      <c r="T8" s="95">
        <f>Q8/N8</f>
        <v>0.12838470588235293</v>
      </c>
    </row>
    <row r="9" spans="1:20">
      <c r="A9" s="4"/>
      <c r="B9" s="44"/>
      <c r="C9" s="45"/>
      <c r="D9" s="87"/>
      <c r="E9" s="84"/>
      <c r="F9" s="85"/>
      <c r="G9" s="107"/>
      <c r="H9" s="98"/>
      <c r="I9" s="79"/>
      <c r="J9" s="79"/>
      <c r="K9" s="83">
        <f t="shared" ref="K9:K13" si="0">SUM(I9:J9)</f>
        <v>0</v>
      </c>
      <c r="O9" s="114"/>
      <c r="P9" s="114"/>
      <c r="Q9" s="95"/>
      <c r="R9" s="95"/>
      <c r="S9" s="95">
        <f>R8/N8</f>
        <v>0.14016541176470587</v>
      </c>
      <c r="T9" s="95">
        <f>R8/N8</f>
        <v>0.14016541176470587</v>
      </c>
    </row>
    <row r="10" spans="1:20">
      <c r="A10" s="4"/>
      <c r="B10" s="16" t="s">
        <v>141</v>
      </c>
      <c r="C10" s="96"/>
      <c r="D10" s="18"/>
      <c r="E10" s="17"/>
      <c r="F10" s="17"/>
      <c r="G10" s="108"/>
      <c r="H10" s="99"/>
      <c r="I10" s="17"/>
      <c r="J10" s="18"/>
      <c r="K10" s="83">
        <f t="shared" si="0"/>
        <v>0</v>
      </c>
      <c r="L10" s="81">
        <f>SUM(K11:K11)/K22</f>
        <v>0.2413793103448276</v>
      </c>
      <c r="O10" s="114"/>
      <c r="P10" s="114"/>
      <c r="Q10" s="95"/>
      <c r="R10" s="95"/>
    </row>
    <row r="11" spans="1:20" ht="197.25" customHeight="1">
      <c r="A11" s="4"/>
      <c r="B11" s="88"/>
      <c r="C11" s="136" t="s">
        <v>138</v>
      </c>
      <c r="D11" s="87" t="s">
        <v>142</v>
      </c>
      <c r="E11" s="126" t="e">
        <f>K11/G11</f>
        <v>#REF!</v>
      </c>
      <c r="F11" s="127" t="e">
        <f>#REF!</f>
        <v>#REF!</v>
      </c>
      <c r="G11" s="128" t="e">
        <f>#REF!</f>
        <v>#REF!</v>
      </c>
      <c r="H11" s="98" t="s">
        <v>140</v>
      </c>
      <c r="I11" s="79">
        <v>150000</v>
      </c>
      <c r="J11" s="79">
        <v>130000</v>
      </c>
      <c r="K11" s="83">
        <f>SUM(I11:J11)</f>
        <v>280000</v>
      </c>
      <c r="L11" s="4"/>
      <c r="M11" s="113" t="s">
        <v>143</v>
      </c>
      <c r="N11" s="113" t="s">
        <v>143</v>
      </c>
      <c r="O11" s="116">
        <v>1.3</v>
      </c>
      <c r="P11" s="116">
        <v>1.8</v>
      </c>
      <c r="Q11" s="94" t="e">
        <f>E11/O11</f>
        <v>#REF!</v>
      </c>
      <c r="R11" s="94" t="e">
        <f>E11/P11</f>
        <v>#REF!</v>
      </c>
    </row>
    <row r="12" spans="1:20">
      <c r="A12" s="4"/>
      <c r="B12" s="117"/>
      <c r="C12" s="119"/>
      <c r="D12" s="118"/>
      <c r="E12" s="93"/>
      <c r="F12" s="130"/>
      <c r="G12" s="109"/>
      <c r="H12" s="98"/>
      <c r="I12" s="79"/>
      <c r="J12" s="79"/>
      <c r="K12" s="83">
        <f t="shared" si="0"/>
        <v>0</v>
      </c>
      <c r="L12" s="4"/>
      <c r="M12" s="113"/>
      <c r="N12" s="113"/>
      <c r="O12" s="116"/>
      <c r="P12" s="116"/>
      <c r="Q12" s="95"/>
      <c r="R12" s="95"/>
    </row>
    <row r="13" spans="1:20">
      <c r="A13" s="4"/>
      <c r="B13" s="19" t="s">
        <v>144</v>
      </c>
      <c r="C13" s="97"/>
      <c r="D13" s="21"/>
      <c r="E13" s="91"/>
      <c r="F13" s="89"/>
      <c r="G13" s="110"/>
      <c r="H13" s="100"/>
      <c r="I13" s="90"/>
      <c r="J13" s="90"/>
      <c r="K13" s="83">
        <f t="shared" si="0"/>
        <v>0</v>
      </c>
      <c r="L13" s="81">
        <f>SUM(K14:K14)/K22</f>
        <v>0.47413793103448276</v>
      </c>
      <c r="O13" s="114"/>
      <c r="P13" s="114"/>
      <c r="Q13" s="95"/>
      <c r="R13" s="95"/>
    </row>
    <row r="14" spans="1:20" ht="231" customHeight="1">
      <c r="A14" s="4"/>
      <c r="B14" s="117"/>
      <c r="C14" s="137" t="s">
        <v>138</v>
      </c>
      <c r="D14" s="92" t="s">
        <v>145</v>
      </c>
      <c r="E14" s="126">
        <f>K14/G14</f>
        <v>1309523.8095238095</v>
      </c>
      <c r="F14" s="120" t="e">
        <f>#REF!</f>
        <v>#REF!</v>
      </c>
      <c r="G14" s="121">
        <v>0.42</v>
      </c>
      <c r="H14" s="98" t="s">
        <v>140</v>
      </c>
      <c r="I14" s="124">
        <v>330000</v>
      </c>
      <c r="J14" s="79">
        <v>220000</v>
      </c>
      <c r="K14" s="83">
        <f>SUM(I14:J14)</f>
        <v>550000</v>
      </c>
      <c r="L14" s="53"/>
      <c r="M14" s="112">
        <v>8951000</v>
      </c>
      <c r="N14" s="112">
        <v>10941000</v>
      </c>
      <c r="O14" s="114">
        <v>2.5499999999999998</v>
      </c>
      <c r="P14" s="94"/>
      <c r="Q14" s="94">
        <v>1938750</v>
      </c>
      <c r="R14" s="94">
        <v>2068000</v>
      </c>
      <c r="S14" s="95">
        <f>Q14/M14</f>
        <v>0.21659591107138867</v>
      </c>
      <c r="T14" s="95">
        <f>Q14/N14</f>
        <v>0.17720043871675351</v>
      </c>
    </row>
    <row r="15" spans="1:20">
      <c r="A15" s="4"/>
      <c r="B15" s="19" t="s">
        <v>73</v>
      </c>
      <c r="C15" s="50"/>
      <c r="D15" s="21"/>
      <c r="E15" s="22"/>
      <c r="F15" s="20"/>
      <c r="G15" s="20"/>
      <c r="H15" s="21"/>
      <c r="I15" s="26"/>
      <c r="J15" s="26"/>
      <c r="K15" s="25"/>
      <c r="L15" s="4"/>
      <c r="O15" s="94"/>
      <c r="P15" s="94"/>
      <c r="Q15" s="95"/>
      <c r="R15" s="95"/>
      <c r="S15" s="95">
        <f>R14/M14</f>
        <v>0.23103563847614791</v>
      </c>
      <c r="T15" s="95">
        <f>R14/N14</f>
        <v>0.1890138012978704</v>
      </c>
    </row>
    <row r="16" spans="1:20">
      <c r="A16" s="4"/>
      <c r="B16" s="48"/>
      <c r="C16" s="36"/>
      <c r="D16" s="31"/>
      <c r="E16" s="32"/>
      <c r="F16" s="131"/>
      <c r="G16" s="29"/>
      <c r="H16" s="35"/>
      <c r="I16" s="38"/>
      <c r="J16" s="29"/>
      <c r="K16" s="41">
        <f t="shared" ref="K16:K21" si="1">SUM(I16:J16)</f>
        <v>0</v>
      </c>
      <c r="L16" s="4"/>
    </row>
    <row r="17" spans="1:12">
      <c r="A17" s="4"/>
      <c r="B17" s="49"/>
      <c r="C17" s="36"/>
      <c r="D17" s="30"/>
      <c r="E17" s="33"/>
      <c r="F17" s="132"/>
      <c r="G17" s="5"/>
      <c r="H17" s="36"/>
      <c r="I17" s="39"/>
      <c r="J17" s="5"/>
      <c r="K17" s="42">
        <f t="shared" si="1"/>
        <v>0</v>
      </c>
      <c r="L17" s="4"/>
    </row>
    <row r="18" spans="1:12">
      <c r="A18" s="4"/>
      <c r="B18" s="49"/>
      <c r="C18" s="36"/>
      <c r="D18" s="30"/>
      <c r="E18" s="33"/>
      <c r="F18" s="132"/>
      <c r="G18" s="5"/>
      <c r="H18" s="36"/>
      <c r="I18" s="39"/>
      <c r="J18" s="5"/>
      <c r="K18" s="42">
        <f t="shared" si="1"/>
        <v>0</v>
      </c>
      <c r="L18" s="4"/>
    </row>
    <row r="19" spans="1:12">
      <c r="A19" s="4"/>
      <c r="B19" s="49"/>
      <c r="C19" s="36"/>
      <c r="D19" s="30"/>
      <c r="E19" s="33"/>
      <c r="F19" s="132"/>
      <c r="G19" s="5"/>
      <c r="H19" s="36"/>
      <c r="I19" s="39"/>
      <c r="J19" s="5"/>
      <c r="K19" s="42">
        <f t="shared" si="1"/>
        <v>0</v>
      </c>
      <c r="L19" s="4"/>
    </row>
    <row r="20" spans="1:12">
      <c r="A20" s="4"/>
      <c r="B20" s="49"/>
      <c r="C20" s="36"/>
      <c r="D20" s="30"/>
      <c r="E20" s="33"/>
      <c r="F20" s="132"/>
      <c r="G20" s="5"/>
      <c r="H20" s="36"/>
      <c r="I20" s="39"/>
      <c r="J20" s="5"/>
      <c r="K20" s="42">
        <f t="shared" si="1"/>
        <v>0</v>
      </c>
      <c r="L20" s="4"/>
    </row>
    <row r="21" spans="1:12">
      <c r="A21" s="4"/>
      <c r="B21" s="27"/>
      <c r="C21" s="47"/>
      <c r="D21" s="47"/>
      <c r="E21" s="34"/>
      <c r="F21" s="133"/>
      <c r="G21" s="28"/>
      <c r="H21" s="37"/>
      <c r="I21" s="40"/>
      <c r="J21" s="28"/>
      <c r="K21" s="43">
        <f t="shared" si="1"/>
        <v>0</v>
      </c>
      <c r="L21" s="4"/>
    </row>
    <row r="22" spans="1:12">
      <c r="A22" s="4"/>
      <c r="B22" s="58" t="s">
        <v>146</v>
      </c>
      <c r="C22" s="59" t="s">
        <v>99</v>
      </c>
      <c r="D22" s="60"/>
      <c r="E22" s="61"/>
      <c r="F22" s="60"/>
      <c r="G22" s="60"/>
      <c r="H22" s="60"/>
      <c r="I22" s="62">
        <f>SUM(I8:I13)</f>
        <v>320000</v>
      </c>
      <c r="J22" s="62">
        <f>SUM(J8:J13)</f>
        <v>290000</v>
      </c>
      <c r="K22" s="63">
        <f>SUM(K8:K15)</f>
        <v>1160000</v>
      </c>
      <c r="L22" s="11">
        <f>SUM(I22:J22)</f>
        <v>610000</v>
      </c>
    </row>
    <row r="23" spans="1:12">
      <c r="A23" s="4"/>
      <c r="B23" s="58"/>
      <c r="C23" s="64" t="s">
        <v>102</v>
      </c>
      <c r="D23" s="65"/>
      <c r="E23" s="66"/>
      <c r="F23" s="65"/>
      <c r="G23" s="65"/>
      <c r="H23" s="65"/>
      <c r="I23" s="67">
        <f>SUM(I16:I21)</f>
        <v>0</v>
      </c>
      <c r="J23" s="67">
        <f>SUM(J16:J20)</f>
        <v>0</v>
      </c>
      <c r="K23" s="68">
        <f>SUM(K16:K21)</f>
        <v>0</v>
      </c>
      <c r="L23" s="11"/>
    </row>
    <row r="24" spans="1:12">
      <c r="A24" s="4"/>
      <c r="B24" s="58"/>
      <c r="C24" s="69" t="s">
        <v>147</v>
      </c>
      <c r="D24" s="65"/>
      <c r="E24" s="70"/>
      <c r="F24" s="71"/>
      <c r="G24" s="71"/>
      <c r="H24" s="65"/>
      <c r="I24" s="67">
        <f>SUM(I22:I23)</f>
        <v>320000</v>
      </c>
      <c r="J24" s="67">
        <f>SUM(J22:J23)</f>
        <v>290000</v>
      </c>
      <c r="K24" s="68">
        <f>SUM(K22:K23)</f>
        <v>1160000</v>
      </c>
      <c r="L24" s="11"/>
    </row>
    <row r="25" spans="1:12">
      <c r="A25" s="4"/>
      <c r="B25" s="58"/>
      <c r="C25" s="72" t="s">
        <v>100</v>
      </c>
      <c r="D25" s="60"/>
      <c r="E25" s="73">
        <v>0.12</v>
      </c>
      <c r="F25" s="74"/>
      <c r="G25" s="74"/>
      <c r="H25" s="60"/>
      <c r="I25" s="62">
        <f>SUM(I24*$E25)</f>
        <v>38400</v>
      </c>
      <c r="J25" s="62">
        <f>SUM(J24*$E25)</f>
        <v>34800</v>
      </c>
      <c r="K25" s="63">
        <f>SUM(K24*$E25)</f>
        <v>139200</v>
      </c>
      <c r="L25" s="11">
        <f>SUM(I25:J25)</f>
        <v>73200</v>
      </c>
    </row>
    <row r="26" spans="1:12">
      <c r="A26" s="4"/>
      <c r="B26" s="58"/>
      <c r="C26" s="69" t="s">
        <v>103</v>
      </c>
      <c r="D26" s="65"/>
      <c r="E26" s="70">
        <v>0.18</v>
      </c>
      <c r="F26" s="71"/>
      <c r="G26" s="71"/>
      <c r="H26" s="65"/>
      <c r="I26" s="67">
        <f>SUM(I16:I20)*E26</f>
        <v>0</v>
      </c>
      <c r="J26" s="67">
        <f>SUM(J16:J20)*E26</f>
        <v>0</v>
      </c>
      <c r="K26" s="68">
        <f>SUM(I26:J26)</f>
        <v>0</v>
      </c>
      <c r="L26" s="4"/>
    </row>
    <row r="27" spans="1:12" ht="16.149999999999999">
      <c r="A27" s="4"/>
      <c r="B27" s="75"/>
      <c r="C27" s="69" t="s">
        <v>148</v>
      </c>
      <c r="D27" s="65"/>
      <c r="E27" s="66"/>
      <c r="F27" s="65"/>
      <c r="G27" s="65"/>
      <c r="H27" s="65"/>
      <c r="I27" s="76">
        <f>SUM(I24:I26)</f>
        <v>358400</v>
      </c>
      <c r="J27" s="76">
        <f>SUM(J24:J26)</f>
        <v>324800</v>
      </c>
      <c r="K27" s="77">
        <f>SUM(K24:K26)</f>
        <v>1299200</v>
      </c>
      <c r="L27" s="12">
        <f>SUM(I27:J27)</f>
        <v>683200</v>
      </c>
    </row>
    <row r="28" spans="1:12">
      <c r="A28" s="4"/>
      <c r="B28" s="5"/>
      <c r="C28" s="4"/>
      <c r="D28" s="4"/>
      <c r="E28" s="6"/>
      <c r="F28" s="13"/>
      <c r="G28" s="14"/>
      <c r="H28" s="4"/>
      <c r="I28" s="4"/>
      <c r="J28" s="4"/>
      <c r="K28" s="4"/>
      <c r="L28" s="4"/>
    </row>
    <row r="29" spans="1:12">
      <c r="A29" s="4"/>
      <c r="B29" s="52"/>
      <c r="C29" s="4"/>
      <c r="D29" s="4"/>
      <c r="E29" s="8"/>
      <c r="F29" s="11"/>
      <c r="G29" s="15"/>
      <c r="H29" s="4"/>
      <c r="J29" s="8" t="s">
        <v>102</v>
      </c>
      <c r="K29" s="11">
        <f>SUM(I16:I21)</f>
        <v>0</v>
      </c>
      <c r="L29" s="4"/>
    </row>
    <row r="30" spans="1:12">
      <c r="A30" s="4"/>
      <c r="B30" s="52"/>
      <c r="C30" s="4"/>
      <c r="D30" s="4"/>
      <c r="E30" s="8"/>
      <c r="F30" s="4"/>
      <c r="G30" s="4"/>
      <c r="H30" s="4"/>
      <c r="J30" s="8" t="s">
        <v>149</v>
      </c>
      <c r="K30" s="11">
        <f>SUM(K29*12%)</f>
        <v>0</v>
      </c>
      <c r="L30" s="4"/>
    </row>
    <row r="31" spans="1:12">
      <c r="A31" s="4"/>
      <c r="B31" s="5"/>
      <c r="C31" s="4"/>
      <c r="D31" s="4"/>
      <c r="E31" s="8"/>
      <c r="F31" s="4"/>
      <c r="G31" s="4"/>
      <c r="H31" s="4"/>
      <c r="J31" s="8" t="s">
        <v>150</v>
      </c>
      <c r="K31" s="11" cm="1">
        <f t="array" ref="K31">SUM(I16:I20*18%)</f>
        <v>0</v>
      </c>
      <c r="L31" s="4"/>
    </row>
    <row r="32" spans="1:12">
      <c r="A32" s="4"/>
      <c r="B32" s="5"/>
      <c r="C32" s="4"/>
      <c r="D32" s="4"/>
      <c r="E32" s="8"/>
      <c r="F32" s="4"/>
      <c r="G32" s="4"/>
      <c r="H32" s="4"/>
      <c r="J32" s="6" t="s">
        <v>105</v>
      </c>
      <c r="K32" s="51">
        <f>SUM(K29:K31)</f>
        <v>0</v>
      </c>
      <c r="L32" s="4"/>
    </row>
    <row r="33" spans="1:12">
      <c r="A33" s="4"/>
      <c r="B33" s="5"/>
      <c r="C33" s="4"/>
      <c r="D33" s="4"/>
      <c r="E33" s="8"/>
      <c r="F33" s="4"/>
      <c r="G33" s="4"/>
      <c r="H33" s="4"/>
      <c r="J33" s="2"/>
      <c r="K33" s="4"/>
      <c r="L33" s="4"/>
    </row>
    <row r="34" spans="1:12">
      <c r="A34" s="4"/>
      <c r="B34" s="5"/>
      <c r="C34" s="4"/>
      <c r="D34" s="4"/>
      <c r="E34" s="8"/>
      <c r="F34" s="4"/>
      <c r="G34" s="4"/>
      <c r="H34" s="4"/>
      <c r="J34" s="6" t="s">
        <v>151</v>
      </c>
      <c r="K34" s="51">
        <f>SUM(K22*1.12)</f>
        <v>1299200.0000000002</v>
      </c>
      <c r="L34" s="4"/>
    </row>
    <row r="35" spans="1:12">
      <c r="A35" s="4"/>
      <c r="B35" s="5"/>
      <c r="C35" s="4"/>
      <c r="D35" s="4"/>
      <c r="E35" s="8"/>
      <c r="F35" s="4"/>
      <c r="G35" s="4"/>
      <c r="H35" s="4"/>
      <c r="I35" s="4"/>
      <c r="J35" s="4"/>
      <c r="K35" s="4"/>
      <c r="L35" s="4"/>
    </row>
    <row r="36" spans="1:12">
      <c r="B36" s="1"/>
      <c r="E36" s="2"/>
    </row>
    <row r="37" spans="1:12">
      <c r="B37" s="1"/>
      <c r="E37" s="2"/>
    </row>
    <row r="38" spans="1:12">
      <c r="B38" s="1"/>
      <c r="E38" s="2"/>
    </row>
    <row r="39" spans="1:12">
      <c r="B39" s="1"/>
      <c r="E39" s="2"/>
    </row>
    <row r="40" spans="1:12">
      <c r="B40" s="1"/>
      <c r="E40" s="2"/>
    </row>
    <row r="41" spans="1:12">
      <c r="B41" s="1"/>
      <c r="E41" s="2"/>
    </row>
    <row r="42" spans="1:12">
      <c r="B42" s="1"/>
      <c r="E42" s="2"/>
    </row>
    <row r="43" spans="1:12">
      <c r="B43" s="1"/>
      <c r="E43" s="2"/>
    </row>
    <row r="44" spans="1:12">
      <c r="B44" s="1"/>
      <c r="E44" s="2"/>
    </row>
    <row r="45" spans="1:12">
      <c r="B45" s="1"/>
      <c r="E45" s="2"/>
    </row>
    <row r="46" spans="1:12">
      <c r="B46" s="1"/>
      <c r="E46" s="2"/>
    </row>
    <row r="47" spans="1:12">
      <c r="B47" s="1"/>
      <c r="E47" s="2"/>
    </row>
    <row r="48" spans="1:12">
      <c r="B48" s="1"/>
      <c r="E48" s="2"/>
    </row>
    <row r="49" spans="2:5">
      <c r="B49" s="1"/>
      <c r="E49" s="2"/>
    </row>
    <row r="50" spans="2:5">
      <c r="B50" s="1"/>
      <c r="E50" s="2"/>
    </row>
    <row r="51" spans="2:5">
      <c r="B51" s="1"/>
      <c r="E51" s="2"/>
    </row>
    <row r="52" spans="2:5">
      <c r="B52" s="1"/>
      <c r="E52" s="2"/>
    </row>
    <row r="53" spans="2:5">
      <c r="B53" s="1"/>
      <c r="E53" s="2"/>
    </row>
    <row r="54" spans="2:5">
      <c r="B54" s="1"/>
      <c r="E54" s="2"/>
    </row>
    <row r="55" spans="2:5">
      <c r="B55" s="1"/>
      <c r="E55" s="2"/>
    </row>
    <row r="56" spans="2:5">
      <c r="B56" s="1"/>
      <c r="E56" s="2"/>
    </row>
    <row r="57" spans="2:5">
      <c r="B57" s="1"/>
      <c r="E57" s="2"/>
    </row>
    <row r="58" spans="2:5">
      <c r="B58" s="1"/>
      <c r="E58" s="2"/>
    </row>
    <row r="59" spans="2:5">
      <c r="B59" s="1"/>
      <c r="E59" s="2"/>
    </row>
    <row r="60" spans="2:5">
      <c r="B60" s="1"/>
      <c r="E60" s="2"/>
    </row>
    <row r="61" spans="2:5">
      <c r="B61" s="1"/>
      <c r="E61" s="2"/>
    </row>
    <row r="62" spans="2:5">
      <c r="B62" s="1"/>
      <c r="E62" s="2"/>
    </row>
    <row r="63" spans="2:5">
      <c r="B63" s="1"/>
      <c r="E63" s="2"/>
    </row>
    <row r="64" spans="2:5">
      <c r="B64" s="1"/>
      <c r="E64" s="2"/>
    </row>
    <row r="65" spans="2:5">
      <c r="B65" s="1"/>
      <c r="E65" s="2"/>
    </row>
    <row r="66" spans="2:5">
      <c r="B66" s="1"/>
      <c r="E66" s="2"/>
    </row>
    <row r="67" spans="2:5">
      <c r="B67" s="1"/>
      <c r="E67" s="2"/>
    </row>
    <row r="68" spans="2:5">
      <c r="B68" s="1"/>
      <c r="E68" s="2"/>
    </row>
    <row r="69" spans="2:5">
      <c r="B69" s="1"/>
      <c r="E69" s="2"/>
    </row>
    <row r="70" spans="2:5">
      <c r="B70" s="1"/>
      <c r="E70" s="2"/>
    </row>
    <row r="71" spans="2:5">
      <c r="B71" s="1"/>
      <c r="E71" s="2"/>
    </row>
    <row r="72" spans="2:5">
      <c r="B72" s="1"/>
      <c r="E72" s="2"/>
    </row>
    <row r="73" spans="2:5">
      <c r="B73" s="1"/>
      <c r="E73" s="2"/>
    </row>
    <row r="74" spans="2:5">
      <c r="B74" s="1"/>
      <c r="E74" s="2"/>
    </row>
    <row r="75" spans="2:5">
      <c r="B75" s="1"/>
      <c r="E75" s="2"/>
    </row>
    <row r="76" spans="2:5">
      <c r="B76" s="1"/>
      <c r="E76" s="2"/>
    </row>
    <row r="77" spans="2:5">
      <c r="B77" s="1"/>
      <c r="E77" s="2"/>
    </row>
    <row r="78" spans="2:5">
      <c r="B78" s="1"/>
      <c r="E78" s="2"/>
    </row>
    <row r="79" spans="2:5">
      <c r="B79" s="1"/>
      <c r="E79" s="2"/>
    </row>
    <row r="80" spans="2:5">
      <c r="B80" s="1"/>
      <c r="E8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1DBA-8318-4D32-AFE8-9711A2D2D160}">
  <dimension ref="A1:T80"/>
  <sheetViews>
    <sheetView topLeftCell="F14" workbookViewId="0">
      <selection activeCell="V12" sqref="V12"/>
    </sheetView>
  </sheetViews>
  <sheetFormatPr defaultRowHeight="14.45"/>
  <cols>
    <col min="1" max="1" width="28.7109375" customWidth="1"/>
    <col min="2" max="2" width="24" customWidth="1"/>
    <col min="3" max="3" width="32.140625" customWidth="1"/>
    <col min="4" max="4" width="41.7109375" customWidth="1"/>
    <col min="5" max="5" width="21.7109375" customWidth="1"/>
    <col min="6" max="6" width="19" customWidth="1"/>
    <col min="7" max="7" width="17.7109375" customWidth="1"/>
    <col min="8" max="8" width="21.28515625" customWidth="1"/>
    <col min="9" max="9" width="23.42578125" customWidth="1"/>
    <col min="10" max="10" width="20.85546875" customWidth="1"/>
    <col min="11" max="11" width="18.28515625" customWidth="1"/>
    <col min="12" max="12" width="19.42578125" customWidth="1"/>
    <col min="13" max="13" width="20.28515625" customWidth="1"/>
    <col min="14" max="14" width="21" customWidth="1"/>
    <col min="15" max="18" width="22.28515625" customWidth="1"/>
    <col min="19" max="19" width="24" customWidth="1"/>
    <col min="20" max="20" width="25.140625" customWidth="1"/>
  </cols>
  <sheetData>
    <row r="1" spans="1:20">
      <c r="A1" s="4"/>
      <c r="B1" s="5"/>
      <c r="C1" s="6" t="s">
        <v>0</v>
      </c>
      <c r="D1" s="7" t="s">
        <v>1</v>
      </c>
      <c r="E1" s="8"/>
      <c r="F1" s="4"/>
      <c r="G1" s="4"/>
      <c r="H1" s="4"/>
      <c r="I1" s="4"/>
      <c r="J1" s="4"/>
      <c r="K1" s="4"/>
      <c r="L1" s="4"/>
    </row>
    <row r="2" spans="1:20">
      <c r="A2" s="4"/>
      <c r="B2" s="5"/>
      <c r="C2" s="6" t="s">
        <v>2</v>
      </c>
      <c r="D2" s="4" t="s">
        <v>121</v>
      </c>
      <c r="E2" s="8"/>
      <c r="F2" s="4"/>
      <c r="G2" s="4"/>
      <c r="H2" s="4"/>
      <c r="I2" s="4"/>
      <c r="J2" s="4"/>
      <c r="K2" s="4"/>
      <c r="L2" s="4"/>
    </row>
    <row r="3" spans="1:20">
      <c r="A3" s="4"/>
      <c r="B3" s="5"/>
      <c r="C3" s="6" t="s">
        <v>4</v>
      </c>
      <c r="D3" s="9" t="s">
        <v>122</v>
      </c>
      <c r="E3" s="8"/>
      <c r="F3" s="4"/>
      <c r="G3" s="4"/>
      <c r="H3" s="4"/>
      <c r="I3" s="4"/>
      <c r="J3" s="4"/>
      <c r="K3" s="4"/>
      <c r="L3" s="4"/>
    </row>
    <row r="4" spans="1:20">
      <c r="A4" s="4"/>
      <c r="B4" s="5"/>
      <c r="C4" s="6" t="s">
        <v>6</v>
      </c>
      <c r="D4" s="10" t="s">
        <v>123</v>
      </c>
      <c r="E4" s="8"/>
      <c r="F4" s="4"/>
      <c r="G4" s="4"/>
      <c r="H4" s="4"/>
      <c r="I4" s="4"/>
      <c r="J4" s="4"/>
      <c r="K4" s="4"/>
      <c r="L4" s="4"/>
    </row>
    <row r="5" spans="1:20">
      <c r="A5" s="4"/>
      <c r="B5" s="5"/>
      <c r="C5" s="4"/>
      <c r="D5" s="4"/>
      <c r="E5" s="8"/>
      <c r="F5" s="4"/>
      <c r="G5" s="4"/>
      <c r="H5" s="103" t="s">
        <v>124</v>
      </c>
      <c r="I5" s="4"/>
      <c r="J5" s="4"/>
      <c r="K5" s="4"/>
      <c r="L5" s="4"/>
    </row>
    <row r="6" spans="1:20" ht="18.75" customHeight="1">
      <c r="A6" s="4"/>
      <c r="B6" s="54" t="s">
        <v>125</v>
      </c>
      <c r="C6" s="55" t="s">
        <v>8</v>
      </c>
      <c r="D6" s="55" t="s">
        <v>9</v>
      </c>
      <c r="E6" s="55" t="s">
        <v>126</v>
      </c>
      <c r="F6" s="55" t="s">
        <v>11</v>
      </c>
      <c r="G6" s="55" t="s">
        <v>12</v>
      </c>
      <c r="H6" s="55" t="s">
        <v>13</v>
      </c>
      <c r="I6" s="78" t="s">
        <v>127</v>
      </c>
      <c r="J6" s="78" t="s">
        <v>128</v>
      </c>
      <c r="K6" s="56" t="s">
        <v>17</v>
      </c>
      <c r="L6" s="57" t="s">
        <v>129</v>
      </c>
      <c r="M6" s="101" t="s">
        <v>130</v>
      </c>
      <c r="N6" s="102" t="s">
        <v>131</v>
      </c>
      <c r="O6" s="106" t="s">
        <v>132</v>
      </c>
      <c r="P6" s="106" t="s">
        <v>133</v>
      </c>
      <c r="Q6" s="134" t="s">
        <v>134</v>
      </c>
      <c r="R6" s="134" t="s">
        <v>134</v>
      </c>
      <c r="S6" s="111" t="s">
        <v>135</v>
      </c>
      <c r="T6" s="111" t="s">
        <v>136</v>
      </c>
    </row>
    <row r="7" spans="1:20">
      <c r="A7" s="4"/>
      <c r="B7" s="19" t="s">
        <v>137</v>
      </c>
      <c r="C7" s="20"/>
      <c r="D7" s="21"/>
      <c r="E7" s="22"/>
      <c r="F7" s="20"/>
      <c r="G7" s="50"/>
      <c r="H7" s="21"/>
      <c r="I7" s="23"/>
      <c r="J7" s="24"/>
      <c r="K7" s="25"/>
      <c r="L7" s="81">
        <f>SUM(K8:K8)/K22</f>
        <v>0.27860696517412936</v>
      </c>
    </row>
    <row r="8" spans="1:20" ht="215.25" customHeight="1">
      <c r="A8" s="4"/>
      <c r="B8" s="80"/>
      <c r="C8" s="135" t="s">
        <v>138</v>
      </c>
      <c r="D8" s="86" t="s">
        <v>139</v>
      </c>
      <c r="E8" s="84" t="e">
        <f>K8/G8</f>
        <v>#REF!</v>
      </c>
      <c r="F8" s="85" t="e">
        <f>#REF!</f>
        <v>#REF!</v>
      </c>
      <c r="G8" s="107" t="e">
        <f>#REF!</f>
        <v>#REF!</v>
      </c>
      <c r="H8" s="98" t="s">
        <v>140</v>
      </c>
      <c r="I8" s="79">
        <v>150000</v>
      </c>
      <c r="J8" s="79">
        <v>130000</v>
      </c>
      <c r="K8" s="83">
        <f>SUM(I8:J8)</f>
        <v>280000</v>
      </c>
      <c r="M8" s="112">
        <v>7200000</v>
      </c>
      <c r="N8" s="112">
        <v>8500000</v>
      </c>
      <c r="O8" s="115">
        <v>2.5</v>
      </c>
      <c r="P8" s="115">
        <v>3.5</v>
      </c>
      <c r="Q8" s="94" t="e">
        <f>E8/O8</f>
        <v>#REF!</v>
      </c>
      <c r="R8" s="94" t="e">
        <f>E8/P8</f>
        <v>#REF!</v>
      </c>
      <c r="S8" s="95" t="e">
        <f>Q8/M8</f>
        <v>#REF!</v>
      </c>
      <c r="T8" s="95" t="e">
        <f>Q8/N8</f>
        <v>#REF!</v>
      </c>
    </row>
    <row r="9" spans="1:20">
      <c r="A9" s="4"/>
      <c r="B9" s="44"/>
      <c r="C9" s="45"/>
      <c r="D9" s="87"/>
      <c r="E9" s="84"/>
      <c r="F9" s="85"/>
      <c r="G9" s="107"/>
      <c r="H9" s="98"/>
      <c r="I9" s="79"/>
      <c r="J9" s="79"/>
      <c r="K9" s="83">
        <f t="shared" ref="K9:K14" si="0">SUM(I9:J9)</f>
        <v>0</v>
      </c>
      <c r="O9" s="114"/>
      <c r="P9" s="114"/>
      <c r="Q9" s="95"/>
      <c r="R9" s="95"/>
    </row>
    <row r="10" spans="1:20">
      <c r="A10" s="4"/>
      <c r="B10" s="16" t="s">
        <v>141</v>
      </c>
      <c r="C10" s="96"/>
      <c r="D10" s="18"/>
      <c r="E10" s="17"/>
      <c r="F10" s="17"/>
      <c r="G10" s="108"/>
      <c r="H10" s="99"/>
      <c r="I10" s="17"/>
      <c r="J10" s="18"/>
      <c r="K10" s="83">
        <f t="shared" si="0"/>
        <v>0</v>
      </c>
      <c r="L10" s="81">
        <f>SUM(K11:K11)/K22</f>
        <v>0.22388059701492538</v>
      </c>
      <c r="O10" s="114"/>
      <c r="P10" s="114"/>
      <c r="Q10" s="95"/>
      <c r="R10" s="95"/>
    </row>
    <row r="11" spans="1:20" ht="197.25" customHeight="1">
      <c r="A11" s="4"/>
      <c r="B11" s="88"/>
      <c r="C11" s="136" t="s">
        <v>138</v>
      </c>
      <c r="D11" s="87" t="s">
        <v>142</v>
      </c>
      <c r="E11" s="126" t="e">
        <f>K11/G11</f>
        <v>#REF!</v>
      </c>
      <c r="F11" s="127" t="e">
        <f>#REF!</f>
        <v>#REF!</v>
      </c>
      <c r="G11" s="128" t="e">
        <f>#REF!</f>
        <v>#REF!</v>
      </c>
      <c r="H11" s="98" t="s">
        <v>140</v>
      </c>
      <c r="I11" s="79">
        <v>120000</v>
      </c>
      <c r="J11" s="79">
        <v>105000</v>
      </c>
      <c r="K11" s="83">
        <f>SUM(I11:J11)</f>
        <v>225000</v>
      </c>
      <c r="L11" s="4"/>
      <c r="M11" s="113" t="s">
        <v>143</v>
      </c>
      <c r="N11" s="113" t="s">
        <v>143</v>
      </c>
      <c r="O11" s="116">
        <v>1.3</v>
      </c>
      <c r="P11" s="116">
        <v>1.8</v>
      </c>
      <c r="Q11" s="94" t="e">
        <f>E11/O11</f>
        <v>#REF!</v>
      </c>
      <c r="R11" s="94" t="e">
        <f>E11/P11</f>
        <v>#REF!</v>
      </c>
    </row>
    <row r="12" spans="1:20">
      <c r="A12" s="4"/>
      <c r="B12" s="117"/>
      <c r="C12" s="119"/>
      <c r="D12" s="118"/>
      <c r="E12" s="93"/>
      <c r="F12" s="130"/>
      <c r="G12" s="109"/>
      <c r="H12" s="98"/>
      <c r="I12" s="79"/>
      <c r="J12" s="79"/>
      <c r="K12" s="83">
        <f t="shared" si="0"/>
        <v>0</v>
      </c>
      <c r="L12" s="4"/>
      <c r="M12" s="113"/>
      <c r="N12" s="113"/>
      <c r="O12" s="116"/>
      <c r="P12" s="116"/>
      <c r="Q12" s="95"/>
      <c r="R12" s="95"/>
    </row>
    <row r="13" spans="1:20">
      <c r="A13" s="4"/>
      <c r="B13" s="19" t="s">
        <v>144</v>
      </c>
      <c r="C13" s="97"/>
      <c r="D13" s="21"/>
      <c r="E13" s="91"/>
      <c r="F13" s="89"/>
      <c r="G13" s="110"/>
      <c r="H13" s="100"/>
      <c r="I13" s="90"/>
      <c r="J13" s="90"/>
      <c r="K13" s="83">
        <f t="shared" si="0"/>
        <v>0</v>
      </c>
      <c r="L13" s="81">
        <f>SUM(K14:K14)/K22</f>
        <v>0.49751243781094528</v>
      </c>
      <c r="O13" s="114"/>
      <c r="P13" s="114"/>
      <c r="Q13" s="95"/>
      <c r="R13" s="95"/>
    </row>
    <row r="14" spans="1:20" ht="231" customHeight="1">
      <c r="A14" s="4"/>
      <c r="B14" s="117"/>
      <c r="C14" s="137" t="s">
        <v>138</v>
      </c>
      <c r="D14" s="92" t="s">
        <v>145</v>
      </c>
      <c r="E14" s="126" t="e">
        <f>K14/G14</f>
        <v>#REF!</v>
      </c>
      <c r="F14" s="120" t="e">
        <f>#REF!</f>
        <v>#REF!</v>
      </c>
      <c r="G14" s="121" t="e">
        <f>#REF!</f>
        <v>#REF!</v>
      </c>
      <c r="H14" s="98" t="s">
        <v>140</v>
      </c>
      <c r="I14" s="124">
        <v>260000</v>
      </c>
      <c r="J14" s="79">
        <v>240000</v>
      </c>
      <c r="K14" s="83">
        <f t="shared" si="0"/>
        <v>500000</v>
      </c>
      <c r="L14" s="53"/>
      <c r="M14" s="112">
        <v>8951000</v>
      </c>
      <c r="N14" s="112">
        <v>10941000</v>
      </c>
      <c r="O14" s="114">
        <v>3.5</v>
      </c>
      <c r="P14" s="94">
        <v>4</v>
      </c>
      <c r="Q14" s="94" t="e">
        <f>E14/O14</f>
        <v>#REF!</v>
      </c>
      <c r="R14" s="94" t="e">
        <f>E14/P14</f>
        <v>#REF!</v>
      </c>
      <c r="S14" s="95" t="e">
        <f>Q14/M14</f>
        <v>#REF!</v>
      </c>
      <c r="T14" s="95" t="e">
        <f>Q14/N14</f>
        <v>#REF!</v>
      </c>
    </row>
    <row r="15" spans="1:20">
      <c r="A15" s="4"/>
      <c r="B15" s="19" t="s">
        <v>73</v>
      </c>
      <c r="C15" s="50"/>
      <c r="D15" s="21"/>
      <c r="E15" s="22"/>
      <c r="F15" s="20"/>
      <c r="G15" s="20"/>
      <c r="H15" s="21"/>
      <c r="I15" s="26"/>
      <c r="J15" s="26"/>
      <c r="K15" s="25"/>
      <c r="L15" s="4"/>
      <c r="O15" s="94"/>
      <c r="P15" s="94"/>
      <c r="Q15" s="95"/>
      <c r="R15" s="95"/>
    </row>
    <row r="16" spans="1:20">
      <c r="A16" s="4"/>
      <c r="B16" s="48"/>
      <c r="C16" s="36"/>
      <c r="D16" s="31"/>
      <c r="E16" s="32"/>
      <c r="F16" s="131"/>
      <c r="G16" s="29"/>
      <c r="H16" s="35"/>
      <c r="I16" s="38"/>
      <c r="J16" s="29"/>
      <c r="K16" s="41">
        <f t="shared" ref="K16:K21" si="1">SUM(I16:J16)</f>
        <v>0</v>
      </c>
      <c r="L16" s="4"/>
    </row>
    <row r="17" spans="1:12">
      <c r="A17" s="4"/>
      <c r="B17" s="49"/>
      <c r="C17" s="36"/>
      <c r="D17" s="30"/>
      <c r="E17" s="33"/>
      <c r="F17" s="132"/>
      <c r="G17" s="5"/>
      <c r="H17" s="36"/>
      <c r="I17" s="39"/>
      <c r="J17" s="5"/>
      <c r="K17" s="42">
        <f t="shared" si="1"/>
        <v>0</v>
      </c>
      <c r="L17" s="4"/>
    </row>
    <row r="18" spans="1:12">
      <c r="A18" s="4"/>
      <c r="B18" s="49"/>
      <c r="C18" s="36"/>
      <c r="D18" s="30"/>
      <c r="E18" s="33"/>
      <c r="F18" s="132"/>
      <c r="G18" s="5"/>
      <c r="H18" s="36"/>
      <c r="I18" s="39"/>
      <c r="J18" s="5"/>
      <c r="K18" s="42">
        <f t="shared" si="1"/>
        <v>0</v>
      </c>
      <c r="L18" s="4"/>
    </row>
    <row r="19" spans="1:12">
      <c r="A19" s="4"/>
      <c r="B19" s="49"/>
      <c r="C19" s="36"/>
      <c r="D19" s="30"/>
      <c r="E19" s="33"/>
      <c r="F19" s="132"/>
      <c r="G19" s="5"/>
      <c r="H19" s="36"/>
      <c r="I19" s="39"/>
      <c r="J19" s="5"/>
      <c r="K19" s="42">
        <f t="shared" si="1"/>
        <v>0</v>
      </c>
      <c r="L19" s="4"/>
    </row>
    <row r="20" spans="1:12">
      <c r="A20" s="4"/>
      <c r="B20" s="49"/>
      <c r="C20" s="36"/>
      <c r="D20" s="30"/>
      <c r="E20" s="33"/>
      <c r="F20" s="132"/>
      <c r="G20" s="5"/>
      <c r="H20" s="36"/>
      <c r="I20" s="39"/>
      <c r="J20" s="5"/>
      <c r="K20" s="42">
        <f t="shared" si="1"/>
        <v>0</v>
      </c>
      <c r="L20" s="4"/>
    </row>
    <row r="21" spans="1:12">
      <c r="A21" s="4"/>
      <c r="B21" s="27"/>
      <c r="C21" s="47"/>
      <c r="D21" s="47"/>
      <c r="E21" s="34"/>
      <c r="F21" s="133"/>
      <c r="G21" s="28"/>
      <c r="H21" s="37"/>
      <c r="I21" s="40"/>
      <c r="J21" s="28"/>
      <c r="K21" s="43">
        <f t="shared" si="1"/>
        <v>0</v>
      </c>
      <c r="L21" s="4"/>
    </row>
    <row r="22" spans="1:12">
      <c r="A22" s="4"/>
      <c r="B22" s="58" t="s">
        <v>146</v>
      </c>
      <c r="C22" s="59" t="s">
        <v>99</v>
      </c>
      <c r="D22" s="60"/>
      <c r="E22" s="61"/>
      <c r="F22" s="60"/>
      <c r="G22" s="60"/>
      <c r="H22" s="60"/>
      <c r="I22" s="62">
        <f>SUM(I8:I13)</f>
        <v>270000</v>
      </c>
      <c r="J22" s="62">
        <f>SUM(J8:J13)</f>
        <v>235000</v>
      </c>
      <c r="K22" s="63">
        <f>SUM(K8:K15)</f>
        <v>1005000</v>
      </c>
      <c r="L22" s="11">
        <f>SUM(I22:J22)</f>
        <v>505000</v>
      </c>
    </row>
    <row r="23" spans="1:12">
      <c r="A23" s="4"/>
      <c r="B23" s="58"/>
      <c r="C23" s="64" t="s">
        <v>102</v>
      </c>
      <c r="D23" s="65"/>
      <c r="E23" s="66"/>
      <c r="F23" s="65"/>
      <c r="G23" s="65"/>
      <c r="H23" s="65"/>
      <c r="I23" s="67">
        <f>SUM(I16:I21)</f>
        <v>0</v>
      </c>
      <c r="J23" s="67">
        <f>SUM(J16:J20)</f>
        <v>0</v>
      </c>
      <c r="K23" s="68">
        <f>SUM(K16:K21)</f>
        <v>0</v>
      </c>
      <c r="L23" s="11"/>
    </row>
    <row r="24" spans="1:12">
      <c r="A24" s="4"/>
      <c r="B24" s="58"/>
      <c r="C24" s="69" t="s">
        <v>147</v>
      </c>
      <c r="D24" s="65"/>
      <c r="E24" s="70"/>
      <c r="F24" s="71"/>
      <c r="G24" s="71"/>
      <c r="H24" s="65"/>
      <c r="I24" s="67">
        <f>SUM(I22:I23)</f>
        <v>270000</v>
      </c>
      <c r="J24" s="67">
        <f>SUM(J22:J23)</f>
        <v>235000</v>
      </c>
      <c r="K24" s="68">
        <f>SUM(K22:K23)</f>
        <v>1005000</v>
      </c>
      <c r="L24" s="11"/>
    </row>
    <row r="25" spans="1:12">
      <c r="A25" s="4"/>
      <c r="B25" s="58"/>
      <c r="C25" s="72" t="s">
        <v>100</v>
      </c>
      <c r="D25" s="60"/>
      <c r="E25" s="73">
        <v>0.12</v>
      </c>
      <c r="F25" s="74"/>
      <c r="G25" s="74"/>
      <c r="H25" s="60"/>
      <c r="I25" s="62">
        <f>SUM(I24*$E25)</f>
        <v>32400</v>
      </c>
      <c r="J25" s="62">
        <f>SUM(J24*$E25)</f>
        <v>28200</v>
      </c>
      <c r="K25" s="63">
        <f>SUM(K24*$E25)</f>
        <v>120600</v>
      </c>
      <c r="L25" s="11">
        <f>SUM(I25:J25)</f>
        <v>60600</v>
      </c>
    </row>
    <row r="26" spans="1:12">
      <c r="A26" s="4"/>
      <c r="B26" s="58"/>
      <c r="C26" s="69" t="s">
        <v>103</v>
      </c>
      <c r="D26" s="65"/>
      <c r="E26" s="70">
        <v>0.18</v>
      </c>
      <c r="F26" s="71"/>
      <c r="G26" s="71"/>
      <c r="H26" s="65"/>
      <c r="I26" s="67">
        <f>SUM(I16:I20)*E26</f>
        <v>0</v>
      </c>
      <c r="J26" s="67">
        <f>SUM(J16:J20)*E26</f>
        <v>0</v>
      </c>
      <c r="K26" s="68">
        <f>SUM(I26:J26)</f>
        <v>0</v>
      </c>
      <c r="L26" s="4"/>
    </row>
    <row r="27" spans="1:12" ht="16.149999999999999">
      <c r="A27" s="4"/>
      <c r="B27" s="75"/>
      <c r="C27" s="69" t="s">
        <v>148</v>
      </c>
      <c r="D27" s="65"/>
      <c r="E27" s="66"/>
      <c r="F27" s="65"/>
      <c r="G27" s="65"/>
      <c r="H27" s="65"/>
      <c r="I27" s="76">
        <f>SUM(I24:I26)</f>
        <v>302400</v>
      </c>
      <c r="J27" s="76">
        <f>SUM(J24:J26)</f>
        <v>263200</v>
      </c>
      <c r="K27" s="77">
        <f>SUM(K24:K26)</f>
        <v>1125600</v>
      </c>
      <c r="L27" s="12">
        <f>SUM(I27:J27)</f>
        <v>565600</v>
      </c>
    </row>
    <row r="28" spans="1:12">
      <c r="A28" s="4"/>
      <c r="B28" s="5"/>
      <c r="C28" s="4"/>
      <c r="D28" s="4"/>
      <c r="E28" s="6"/>
      <c r="F28" s="13"/>
      <c r="G28" s="14"/>
      <c r="H28" s="4"/>
      <c r="I28" s="4"/>
      <c r="J28" s="4"/>
      <c r="K28" s="4"/>
      <c r="L28" s="4"/>
    </row>
    <row r="29" spans="1:12">
      <c r="A29" s="4"/>
      <c r="B29" s="52"/>
      <c r="C29" s="4"/>
      <c r="D29" s="4"/>
      <c r="E29" s="8"/>
      <c r="F29" s="11"/>
      <c r="G29" s="15"/>
      <c r="H29" s="4"/>
      <c r="J29" s="8" t="s">
        <v>102</v>
      </c>
      <c r="K29" s="11">
        <f>SUM(I16:I21)</f>
        <v>0</v>
      </c>
      <c r="L29" s="4"/>
    </row>
    <row r="30" spans="1:12">
      <c r="A30" s="4"/>
      <c r="B30" s="52"/>
      <c r="C30" s="4"/>
      <c r="D30" s="4"/>
      <c r="E30" s="8"/>
      <c r="F30" s="4"/>
      <c r="G30" s="4"/>
      <c r="H30" s="4"/>
      <c r="J30" s="8" t="s">
        <v>149</v>
      </c>
      <c r="K30" s="11">
        <f>SUM(K29*12%)</f>
        <v>0</v>
      </c>
      <c r="L30" s="4"/>
    </row>
    <row r="31" spans="1:12">
      <c r="A31" s="4"/>
      <c r="B31" s="5"/>
      <c r="C31" s="4"/>
      <c r="D31" s="4"/>
      <c r="E31" s="8"/>
      <c r="F31" s="4"/>
      <c r="G31" s="4"/>
      <c r="H31" s="4"/>
      <c r="J31" s="8" t="s">
        <v>150</v>
      </c>
      <c r="K31" s="11" cm="1">
        <f t="array" ref="K31">SUM(I16:I20*18%)</f>
        <v>0</v>
      </c>
      <c r="L31" s="4"/>
    </row>
    <row r="32" spans="1:12">
      <c r="A32" s="4"/>
      <c r="B32" s="5"/>
      <c r="C32" s="4"/>
      <c r="D32" s="4"/>
      <c r="E32" s="8"/>
      <c r="F32" s="4"/>
      <c r="G32" s="4"/>
      <c r="H32" s="4"/>
      <c r="J32" s="6" t="s">
        <v>105</v>
      </c>
      <c r="K32" s="51">
        <f>SUM(K29:K31)</f>
        <v>0</v>
      </c>
      <c r="L32" s="4"/>
    </row>
    <row r="33" spans="1:12">
      <c r="A33" s="4"/>
      <c r="B33" s="5"/>
      <c r="C33" s="4"/>
      <c r="D33" s="4"/>
      <c r="E33" s="8"/>
      <c r="F33" s="4"/>
      <c r="G33" s="4"/>
      <c r="H33" s="4"/>
      <c r="J33" s="2"/>
      <c r="K33" s="4"/>
      <c r="L33" s="4"/>
    </row>
    <row r="34" spans="1:12">
      <c r="A34" s="4"/>
      <c r="B34" s="5"/>
      <c r="C34" s="4"/>
      <c r="D34" s="4"/>
      <c r="E34" s="8"/>
      <c r="F34" s="4"/>
      <c r="G34" s="4"/>
      <c r="H34" s="4"/>
      <c r="J34" s="6" t="s">
        <v>151</v>
      </c>
      <c r="K34" s="51">
        <f>SUM(K22*1.12)</f>
        <v>1125600</v>
      </c>
      <c r="L34" s="4"/>
    </row>
    <row r="35" spans="1:12">
      <c r="A35" s="4"/>
      <c r="B35" s="5"/>
      <c r="C35" s="4"/>
      <c r="D35" s="4"/>
      <c r="E35" s="8"/>
      <c r="F35" s="4"/>
      <c r="G35" s="4"/>
      <c r="H35" s="4"/>
      <c r="I35" s="4"/>
      <c r="J35" s="4"/>
      <c r="K35" s="4"/>
      <c r="L35" s="4"/>
    </row>
    <row r="36" spans="1:12">
      <c r="B36" s="1"/>
      <c r="E36" s="2"/>
    </row>
    <row r="37" spans="1:12">
      <c r="B37" s="1"/>
      <c r="E37" s="2"/>
    </row>
    <row r="38" spans="1:12">
      <c r="B38" s="1"/>
      <c r="E38" s="2"/>
    </row>
    <row r="39" spans="1:12">
      <c r="B39" s="1"/>
      <c r="E39" s="2"/>
    </row>
    <row r="40" spans="1:12">
      <c r="B40" s="1"/>
      <c r="E40" s="2"/>
    </row>
    <row r="41" spans="1:12">
      <c r="B41" s="1"/>
      <c r="E41" s="2"/>
    </row>
    <row r="42" spans="1:12">
      <c r="B42" s="1"/>
      <c r="E42" s="2"/>
    </row>
    <row r="43" spans="1:12">
      <c r="B43" s="1"/>
      <c r="E43" s="2"/>
    </row>
    <row r="44" spans="1:12">
      <c r="B44" s="1"/>
      <c r="E44" s="2"/>
    </row>
    <row r="45" spans="1:12">
      <c r="B45" s="1"/>
      <c r="E45" s="2"/>
    </row>
    <row r="46" spans="1:12">
      <c r="B46" s="1"/>
      <c r="E46" s="2"/>
    </row>
    <row r="47" spans="1:12">
      <c r="B47" s="1"/>
      <c r="E47" s="2"/>
    </row>
    <row r="48" spans="1:12">
      <c r="B48" s="1"/>
      <c r="E48" s="2"/>
    </row>
    <row r="49" spans="2:5">
      <c r="B49" s="1"/>
      <c r="E49" s="2"/>
    </row>
    <row r="50" spans="2:5">
      <c r="B50" s="1"/>
      <c r="E50" s="2"/>
    </row>
    <row r="51" spans="2:5">
      <c r="B51" s="1"/>
      <c r="E51" s="2"/>
    </row>
    <row r="52" spans="2:5">
      <c r="B52" s="1"/>
      <c r="E52" s="2"/>
    </row>
    <row r="53" spans="2:5">
      <c r="B53" s="1"/>
      <c r="E53" s="2"/>
    </row>
    <row r="54" spans="2:5">
      <c r="B54" s="1"/>
      <c r="E54" s="2"/>
    </row>
    <row r="55" spans="2:5">
      <c r="B55" s="1"/>
      <c r="E55" s="2"/>
    </row>
    <row r="56" spans="2:5">
      <c r="B56" s="1"/>
      <c r="E56" s="2"/>
    </row>
    <row r="57" spans="2:5">
      <c r="B57" s="1"/>
      <c r="E57" s="2"/>
    </row>
    <row r="58" spans="2:5">
      <c r="B58" s="1"/>
      <c r="E58" s="2"/>
    </row>
    <row r="59" spans="2:5">
      <c r="B59" s="1"/>
      <c r="E59" s="2"/>
    </row>
    <row r="60" spans="2:5">
      <c r="B60" s="1"/>
      <c r="E60" s="2"/>
    </row>
    <row r="61" spans="2:5">
      <c r="B61" s="1"/>
      <c r="E61" s="2"/>
    </row>
    <row r="62" spans="2:5">
      <c r="B62" s="1"/>
      <c r="E62" s="2"/>
    </row>
    <row r="63" spans="2:5">
      <c r="B63" s="1"/>
      <c r="E63" s="2"/>
    </row>
    <row r="64" spans="2:5">
      <c r="B64" s="1"/>
      <c r="E64" s="2"/>
    </row>
    <row r="65" spans="2:5">
      <c r="B65" s="1"/>
      <c r="E65" s="2"/>
    </row>
    <row r="66" spans="2:5">
      <c r="B66" s="1"/>
      <c r="E66" s="2"/>
    </row>
    <row r="67" spans="2:5">
      <c r="B67" s="1"/>
      <c r="E67" s="2"/>
    </row>
    <row r="68" spans="2:5">
      <c r="B68" s="1"/>
      <c r="E68" s="2"/>
    </row>
    <row r="69" spans="2:5">
      <c r="B69" s="1"/>
      <c r="E69" s="2"/>
    </row>
    <row r="70" spans="2:5">
      <c r="B70" s="1"/>
      <c r="E70" s="2"/>
    </row>
    <row r="71" spans="2:5">
      <c r="B71" s="1"/>
      <c r="E71" s="2"/>
    </row>
    <row r="72" spans="2:5">
      <c r="B72" s="1"/>
      <c r="E72" s="2"/>
    </row>
    <row r="73" spans="2:5">
      <c r="B73" s="1"/>
      <c r="E73" s="2"/>
    </row>
    <row r="74" spans="2:5">
      <c r="B74" s="1"/>
      <c r="E74" s="2"/>
    </row>
    <row r="75" spans="2:5">
      <c r="B75" s="1"/>
      <c r="E75" s="2"/>
    </row>
    <row r="76" spans="2:5">
      <c r="B76" s="1"/>
      <c r="E76" s="2"/>
    </row>
    <row r="77" spans="2:5">
      <c r="B77" s="1"/>
      <c r="E77" s="2"/>
    </row>
    <row r="78" spans="2:5">
      <c r="B78" s="1"/>
      <c r="E78" s="2"/>
    </row>
    <row r="79" spans="2:5">
      <c r="B79" s="1"/>
      <c r="E79" s="2"/>
    </row>
    <row r="80" spans="2:5">
      <c r="B80" s="1"/>
      <c r="E8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5F8B-B6B2-43FA-88E6-F98CAA9FA79F}">
  <dimension ref="A1:T81"/>
  <sheetViews>
    <sheetView topLeftCell="K1" workbookViewId="0">
      <selection activeCell="S9" sqref="S9"/>
    </sheetView>
  </sheetViews>
  <sheetFormatPr defaultRowHeight="14.45"/>
  <cols>
    <col min="1" max="1" width="28.7109375" customWidth="1"/>
    <col min="2" max="2" width="24" customWidth="1"/>
    <col min="3" max="3" width="32.140625" customWidth="1"/>
    <col min="4" max="4" width="41.7109375" customWidth="1"/>
    <col min="5" max="5" width="21.7109375" customWidth="1"/>
    <col min="6" max="6" width="19" customWidth="1"/>
    <col min="7" max="7" width="17.7109375" customWidth="1"/>
    <col min="8" max="8" width="21.28515625" customWidth="1"/>
    <col min="9" max="9" width="23.42578125" customWidth="1"/>
    <col min="10" max="10" width="20.85546875" customWidth="1"/>
    <col min="11" max="11" width="18.28515625" customWidth="1"/>
    <col min="12" max="12" width="19.42578125" customWidth="1"/>
    <col min="13" max="13" width="20.28515625" customWidth="1"/>
    <col min="14" max="14" width="21" customWidth="1"/>
    <col min="15" max="18" width="22.28515625" customWidth="1"/>
    <col min="19" max="19" width="24" customWidth="1"/>
    <col min="20" max="20" width="25.140625" customWidth="1"/>
  </cols>
  <sheetData>
    <row r="1" spans="1:20">
      <c r="A1" s="4"/>
      <c r="B1" s="5"/>
      <c r="C1" s="6" t="s">
        <v>0</v>
      </c>
      <c r="D1" s="7" t="s">
        <v>1</v>
      </c>
      <c r="E1" s="8"/>
      <c r="F1" s="4"/>
      <c r="G1" s="4"/>
      <c r="H1" s="4"/>
      <c r="I1" s="4"/>
      <c r="J1" s="4"/>
      <c r="K1" s="4"/>
      <c r="L1" s="4"/>
    </row>
    <row r="2" spans="1:20">
      <c r="A2" s="4"/>
      <c r="B2" s="5"/>
      <c r="C2" s="6" t="s">
        <v>2</v>
      </c>
      <c r="D2" s="4" t="s">
        <v>121</v>
      </c>
      <c r="E2" s="8"/>
      <c r="F2" s="4"/>
      <c r="G2" s="4"/>
      <c r="H2" s="4"/>
      <c r="I2" s="4"/>
      <c r="J2" s="4"/>
      <c r="K2" s="4"/>
      <c r="L2" s="4"/>
    </row>
    <row r="3" spans="1:20">
      <c r="A3" s="4"/>
      <c r="B3" s="5"/>
      <c r="C3" s="6" t="s">
        <v>4</v>
      </c>
      <c r="D3" s="9" t="s">
        <v>122</v>
      </c>
      <c r="E3" s="8"/>
      <c r="F3" s="4"/>
      <c r="G3" s="4"/>
      <c r="H3" s="4"/>
      <c r="I3" s="4"/>
      <c r="J3" s="4"/>
      <c r="K3" s="4"/>
      <c r="L3" s="4"/>
    </row>
    <row r="4" spans="1:20">
      <c r="A4" s="4"/>
      <c r="B4" s="5"/>
      <c r="C4" s="6" t="s">
        <v>6</v>
      </c>
      <c r="D4" s="10" t="s">
        <v>123</v>
      </c>
      <c r="E4" s="8"/>
      <c r="F4" s="4"/>
      <c r="G4" s="4"/>
      <c r="H4" s="4"/>
      <c r="I4" s="4"/>
      <c r="J4" s="4"/>
      <c r="K4" s="4"/>
      <c r="L4" s="4"/>
    </row>
    <row r="5" spans="1:20">
      <c r="A5" s="4"/>
      <c r="B5" s="5"/>
      <c r="C5" s="4"/>
      <c r="D5" s="4"/>
      <c r="E5" s="8"/>
      <c r="F5" s="4"/>
      <c r="G5" s="4"/>
      <c r="H5" s="103" t="s">
        <v>124</v>
      </c>
      <c r="I5" s="4"/>
      <c r="J5" s="4"/>
      <c r="K5" s="4"/>
      <c r="L5" s="4"/>
    </row>
    <row r="6" spans="1:20" ht="18.75" customHeight="1">
      <c r="A6" s="4"/>
      <c r="B6" s="54" t="s">
        <v>125</v>
      </c>
      <c r="C6" s="55" t="s">
        <v>8</v>
      </c>
      <c r="D6" s="55" t="s">
        <v>9</v>
      </c>
      <c r="E6" s="55" t="s">
        <v>126</v>
      </c>
      <c r="F6" s="55" t="s">
        <v>11</v>
      </c>
      <c r="G6" s="55" t="s">
        <v>12</v>
      </c>
      <c r="H6" s="55" t="s">
        <v>13</v>
      </c>
      <c r="I6" s="78" t="s">
        <v>127</v>
      </c>
      <c r="J6" s="78" t="s">
        <v>128</v>
      </c>
      <c r="K6" s="56" t="s">
        <v>17</v>
      </c>
      <c r="L6" s="57" t="s">
        <v>129</v>
      </c>
      <c r="M6" s="101" t="s">
        <v>130</v>
      </c>
      <c r="N6" s="102" t="s">
        <v>131</v>
      </c>
      <c r="O6" s="106" t="s">
        <v>152</v>
      </c>
      <c r="P6" s="106" t="s">
        <v>152</v>
      </c>
      <c r="Q6" s="134" t="s">
        <v>134</v>
      </c>
      <c r="R6" s="134"/>
      <c r="S6" s="111" t="s">
        <v>135</v>
      </c>
      <c r="T6" s="111" t="s">
        <v>136</v>
      </c>
    </row>
    <row r="7" spans="1:20">
      <c r="A7" s="4"/>
      <c r="B7" s="19" t="s">
        <v>137</v>
      </c>
      <c r="C7" s="20"/>
      <c r="D7" s="21"/>
      <c r="E7" s="22"/>
      <c r="F7" s="20"/>
      <c r="G7" s="50"/>
      <c r="H7" s="21"/>
      <c r="I7" s="23"/>
      <c r="J7" s="24"/>
      <c r="K7" s="25"/>
      <c r="L7" s="81">
        <f>SUM(K8:K9)/K23</f>
        <v>0.27860696517412936</v>
      </c>
    </row>
    <row r="8" spans="1:20" ht="219.75" customHeight="1">
      <c r="A8" s="4"/>
      <c r="B8" s="80" t="s">
        <v>153</v>
      </c>
      <c r="C8" s="104" t="s">
        <v>154</v>
      </c>
      <c r="D8" s="86" t="s">
        <v>155</v>
      </c>
      <c r="E8" s="46" t="e">
        <f>K8/G8</f>
        <v>#REF!</v>
      </c>
      <c r="F8" s="45" t="e">
        <f>#REF!</f>
        <v>#REF!</v>
      </c>
      <c r="G8" s="107" t="e">
        <f>#REF!</f>
        <v>#REF!</v>
      </c>
      <c r="H8" s="98" t="s">
        <v>156</v>
      </c>
      <c r="I8" s="79">
        <v>200000</v>
      </c>
      <c r="J8" s="79">
        <v>0</v>
      </c>
      <c r="K8" s="83" cm="1">
        <f t="array" ref="K8:L8">I8:J8</f>
        <v>200000</v>
      </c>
      <c r="L8">
        <v>0</v>
      </c>
      <c r="M8" s="112">
        <v>7200000</v>
      </c>
      <c r="N8" s="112">
        <v>8500000</v>
      </c>
      <c r="O8" s="115">
        <v>2.5</v>
      </c>
      <c r="P8" s="115">
        <v>3.5</v>
      </c>
      <c r="Q8" s="94" t="e">
        <f>E8/O8</f>
        <v>#REF!</v>
      </c>
      <c r="R8" s="94" t="e">
        <f>E8/P8</f>
        <v>#REF!</v>
      </c>
      <c r="S8" s="95" t="e">
        <f>Q8/M8</f>
        <v>#REF!</v>
      </c>
      <c r="T8" s="95" t="e">
        <f>Q8/N8</f>
        <v>#REF!</v>
      </c>
    </row>
    <row r="9" spans="1:20" ht="215.25" customHeight="1">
      <c r="A9" s="4"/>
      <c r="B9" s="80"/>
      <c r="C9" s="135" t="s">
        <v>157</v>
      </c>
      <c r="D9" s="86" t="s">
        <v>155</v>
      </c>
      <c r="E9" s="84" t="e">
        <f>K9/G9</f>
        <v>#REF!</v>
      </c>
      <c r="F9" s="85" t="e">
        <f>#REF!</f>
        <v>#REF!</v>
      </c>
      <c r="G9" s="107" t="e">
        <f>#REF!</f>
        <v>#REF!</v>
      </c>
      <c r="H9" s="98" t="s">
        <v>158</v>
      </c>
      <c r="I9" s="79">
        <v>0</v>
      </c>
      <c r="J9" s="79">
        <v>80000</v>
      </c>
      <c r="K9" s="83">
        <f>SUM(I9:J9)</f>
        <v>80000</v>
      </c>
      <c r="M9" s="112">
        <v>7200000</v>
      </c>
      <c r="N9" s="112">
        <v>8500000</v>
      </c>
      <c r="O9" s="115">
        <v>1.1000000000000001</v>
      </c>
      <c r="P9" s="115">
        <v>1.3</v>
      </c>
      <c r="Q9" s="94" t="e">
        <f>E9/O9</f>
        <v>#REF!</v>
      </c>
      <c r="R9" s="94" t="e">
        <f>E9/P9</f>
        <v>#REF!</v>
      </c>
      <c r="S9" s="95" t="e">
        <f>Q9/M9</f>
        <v>#REF!</v>
      </c>
      <c r="T9" s="95" t="e">
        <f>Q9/N9</f>
        <v>#REF!</v>
      </c>
    </row>
    <row r="10" spans="1:20">
      <c r="A10" s="4"/>
      <c r="B10" s="44"/>
      <c r="C10" s="45"/>
      <c r="D10" s="87"/>
      <c r="E10" s="84"/>
      <c r="F10" s="85"/>
      <c r="G10" s="107"/>
      <c r="H10" s="98"/>
      <c r="I10" s="79"/>
      <c r="J10" s="79"/>
      <c r="K10" s="83">
        <f t="shared" ref="K10:K14" si="0">SUM(I10:J10)</f>
        <v>0</v>
      </c>
      <c r="O10" s="114"/>
      <c r="P10" s="114"/>
      <c r="Q10" s="95"/>
      <c r="R10" s="95"/>
    </row>
    <row r="11" spans="1:20">
      <c r="A11" s="4"/>
      <c r="B11" s="16" t="s">
        <v>141</v>
      </c>
      <c r="C11" s="96"/>
      <c r="D11" s="18"/>
      <c r="E11" s="17"/>
      <c r="F11" s="17"/>
      <c r="G11" s="108"/>
      <c r="H11" s="99"/>
      <c r="I11" s="17"/>
      <c r="J11" s="18"/>
      <c r="K11" s="83">
        <f t="shared" si="0"/>
        <v>0</v>
      </c>
      <c r="L11" s="81">
        <f>SUM(K12:K12)/K23</f>
        <v>0.22388059701492538</v>
      </c>
      <c r="O11" s="114"/>
      <c r="P11" s="114"/>
      <c r="Q11" s="95"/>
      <c r="R11" s="95"/>
    </row>
    <row r="12" spans="1:20" ht="184.5" customHeight="1">
      <c r="A12" s="4"/>
      <c r="B12" s="88"/>
      <c r="C12" s="136" t="s">
        <v>159</v>
      </c>
      <c r="D12" s="87" t="s">
        <v>142</v>
      </c>
      <c r="E12" s="126" t="e">
        <f>K12/G12</f>
        <v>#REF!</v>
      </c>
      <c r="F12" s="127" t="e">
        <f>#REF!</f>
        <v>#REF!</v>
      </c>
      <c r="G12" s="128" t="e">
        <f>#REF!</f>
        <v>#REF!</v>
      </c>
      <c r="H12" s="98" t="s">
        <v>140</v>
      </c>
      <c r="I12" s="79">
        <v>120000</v>
      </c>
      <c r="J12" s="79">
        <v>105000</v>
      </c>
      <c r="K12" s="83">
        <f>SUM(I12:J12)</f>
        <v>225000</v>
      </c>
      <c r="L12" s="4"/>
      <c r="M12" s="113" t="s">
        <v>143</v>
      </c>
      <c r="N12" s="113" t="s">
        <v>143</v>
      </c>
      <c r="O12" s="116">
        <v>1.3</v>
      </c>
      <c r="P12" s="116">
        <v>1.8</v>
      </c>
      <c r="Q12" s="94" t="e">
        <f>E12/O12</f>
        <v>#REF!</v>
      </c>
      <c r="R12" s="94" t="e">
        <f>E12/P12</f>
        <v>#REF!</v>
      </c>
    </row>
    <row r="13" spans="1:20">
      <c r="A13" s="4"/>
      <c r="B13" s="117"/>
      <c r="C13" s="119"/>
      <c r="D13" s="118"/>
      <c r="E13" s="93"/>
      <c r="F13" s="130"/>
      <c r="G13" s="109"/>
      <c r="H13" s="98"/>
      <c r="I13" s="79"/>
      <c r="J13" s="79"/>
      <c r="K13" s="83">
        <f t="shared" si="0"/>
        <v>0</v>
      </c>
      <c r="L13" s="4"/>
      <c r="M13" s="113"/>
      <c r="N13" s="113"/>
      <c r="O13" s="116"/>
      <c r="P13" s="116"/>
      <c r="Q13" s="95"/>
      <c r="R13" s="95"/>
    </row>
    <row r="14" spans="1:20">
      <c r="A14" s="4"/>
      <c r="B14" s="19" t="s">
        <v>144</v>
      </c>
      <c r="C14" s="97"/>
      <c r="D14" s="21"/>
      <c r="E14" s="91"/>
      <c r="F14" s="89"/>
      <c r="G14" s="110"/>
      <c r="H14" s="100"/>
      <c r="I14" s="90"/>
      <c r="J14" s="90"/>
      <c r="K14" s="83">
        <f t="shared" si="0"/>
        <v>0</v>
      </c>
      <c r="L14" s="81">
        <f>SUM(K15:K15)/K23</f>
        <v>0.49751243781094528</v>
      </c>
      <c r="O14" s="114"/>
      <c r="P14" s="114"/>
      <c r="Q14" s="95"/>
      <c r="R14" s="95"/>
    </row>
    <row r="15" spans="1:20" ht="231" customHeight="1">
      <c r="A15" s="4"/>
      <c r="B15" s="44" t="s">
        <v>160</v>
      </c>
      <c r="C15" s="105" t="s">
        <v>154</v>
      </c>
      <c r="D15" s="92" t="s">
        <v>161</v>
      </c>
      <c r="E15" s="129" t="e">
        <f>K15/G15</f>
        <v>#REF!</v>
      </c>
      <c r="F15" s="120" t="e">
        <f>#REF!</f>
        <v>#REF!</v>
      </c>
      <c r="G15" s="121" t="e">
        <f>#REF!</f>
        <v>#REF!</v>
      </c>
      <c r="H15" s="122" t="s">
        <v>162</v>
      </c>
      <c r="I15" s="123">
        <v>500000</v>
      </c>
      <c r="J15" s="123"/>
      <c r="K15" s="83">
        <f>SUM(I15:J15)</f>
        <v>500000</v>
      </c>
      <c r="L15" s="53"/>
      <c r="M15" s="112">
        <v>8951000</v>
      </c>
      <c r="N15" s="112">
        <v>10941000</v>
      </c>
      <c r="O15" s="114">
        <v>3.5</v>
      </c>
      <c r="P15" s="94">
        <v>4</v>
      </c>
      <c r="Q15" s="94" t="e">
        <f>E15/O15</f>
        <v>#REF!</v>
      </c>
      <c r="R15" s="94" t="e">
        <f>E15/P15</f>
        <v>#REF!</v>
      </c>
      <c r="S15" s="95" t="e">
        <f>Q15/M15</f>
        <v>#REF!</v>
      </c>
      <c r="T15" s="95" t="e">
        <f>Q15/N15</f>
        <v>#REF!</v>
      </c>
    </row>
    <row r="16" spans="1:20">
      <c r="A16" s="4"/>
      <c r="B16" s="19" t="s">
        <v>73</v>
      </c>
      <c r="C16" s="50"/>
      <c r="D16" s="21"/>
      <c r="E16" s="22"/>
      <c r="F16" s="20"/>
      <c r="G16" s="20"/>
      <c r="H16" s="21"/>
      <c r="I16" s="26"/>
      <c r="J16" s="26"/>
      <c r="K16" s="25"/>
      <c r="L16" s="4"/>
      <c r="O16" s="94"/>
      <c r="P16" s="94"/>
      <c r="Q16" s="95"/>
      <c r="R16" s="95"/>
    </row>
    <row r="17" spans="1:12">
      <c r="A17" s="4"/>
      <c r="B17" s="48"/>
      <c r="C17" s="36"/>
      <c r="D17" s="31"/>
      <c r="E17" s="32"/>
      <c r="F17" s="131"/>
      <c r="G17" s="29"/>
      <c r="H17" s="35"/>
      <c r="I17" s="38"/>
      <c r="J17" s="29"/>
      <c r="K17" s="41">
        <f t="shared" ref="K17:K22" si="1">SUM(I17:J17)</f>
        <v>0</v>
      </c>
      <c r="L17" s="4"/>
    </row>
    <row r="18" spans="1:12">
      <c r="A18" s="4"/>
      <c r="B18" s="49"/>
      <c r="C18" s="36"/>
      <c r="D18" s="30"/>
      <c r="E18" s="33"/>
      <c r="F18" s="132"/>
      <c r="G18" s="5"/>
      <c r="H18" s="36"/>
      <c r="I18" s="39"/>
      <c r="J18" s="5"/>
      <c r="K18" s="42">
        <f t="shared" si="1"/>
        <v>0</v>
      </c>
      <c r="L18" s="4"/>
    </row>
    <row r="19" spans="1:12">
      <c r="A19" s="4"/>
      <c r="B19" s="49"/>
      <c r="C19" s="36"/>
      <c r="D19" s="30"/>
      <c r="E19" s="33"/>
      <c r="F19" s="132"/>
      <c r="G19" s="5"/>
      <c r="H19" s="36"/>
      <c r="I19" s="39"/>
      <c r="J19" s="5"/>
      <c r="K19" s="42">
        <f t="shared" si="1"/>
        <v>0</v>
      </c>
      <c r="L19" s="4"/>
    </row>
    <row r="20" spans="1:12">
      <c r="A20" s="4"/>
      <c r="B20" s="49"/>
      <c r="C20" s="36"/>
      <c r="D20" s="30"/>
      <c r="E20" s="33"/>
      <c r="F20" s="132"/>
      <c r="G20" s="5"/>
      <c r="H20" s="36"/>
      <c r="I20" s="39"/>
      <c r="J20" s="5"/>
      <c r="K20" s="42">
        <f t="shared" si="1"/>
        <v>0</v>
      </c>
      <c r="L20" s="4"/>
    </row>
    <row r="21" spans="1:12">
      <c r="A21" s="4"/>
      <c r="B21" s="49"/>
      <c r="C21" s="36"/>
      <c r="D21" s="30"/>
      <c r="E21" s="33"/>
      <c r="F21" s="132"/>
      <c r="G21" s="5"/>
      <c r="H21" s="36"/>
      <c r="I21" s="39"/>
      <c r="J21" s="5"/>
      <c r="K21" s="42">
        <f t="shared" si="1"/>
        <v>0</v>
      </c>
      <c r="L21" s="4"/>
    </row>
    <row r="22" spans="1:12">
      <c r="A22" s="4"/>
      <c r="B22" s="27"/>
      <c r="C22" s="47"/>
      <c r="D22" s="47"/>
      <c r="E22" s="34"/>
      <c r="F22" s="133"/>
      <c r="G22" s="28"/>
      <c r="H22" s="37"/>
      <c r="I22" s="40"/>
      <c r="J22" s="28"/>
      <c r="K22" s="43">
        <f t="shared" si="1"/>
        <v>0</v>
      </c>
      <c r="L22" s="4"/>
    </row>
    <row r="23" spans="1:12">
      <c r="A23" s="4"/>
      <c r="B23" s="58" t="s">
        <v>146</v>
      </c>
      <c r="C23" s="59" t="s">
        <v>99</v>
      </c>
      <c r="D23" s="60"/>
      <c r="E23" s="61"/>
      <c r="F23" s="60"/>
      <c r="G23" s="60"/>
      <c r="H23" s="60"/>
      <c r="I23" s="62">
        <f>SUM(I8:I15)</f>
        <v>820000</v>
      </c>
      <c r="J23" s="62">
        <f>SUM(J8:J15)</f>
        <v>185000</v>
      </c>
      <c r="K23" s="63">
        <f>SUM(K8:K16)</f>
        <v>1005000</v>
      </c>
      <c r="L23" s="11">
        <f>SUM(I23:J23)</f>
        <v>1005000</v>
      </c>
    </row>
    <row r="24" spans="1:12">
      <c r="A24" s="4"/>
      <c r="B24" s="58"/>
      <c r="C24" s="64" t="s">
        <v>102</v>
      </c>
      <c r="D24" s="65"/>
      <c r="E24" s="66"/>
      <c r="F24" s="65"/>
      <c r="G24" s="65"/>
      <c r="H24" s="65"/>
      <c r="I24" s="67">
        <f>SUM(I17:I22)</f>
        <v>0</v>
      </c>
      <c r="J24" s="67">
        <f>SUM(J17:J21)</f>
        <v>0</v>
      </c>
      <c r="K24" s="68">
        <f>SUM(K17:K22)</f>
        <v>0</v>
      </c>
      <c r="L24" s="11"/>
    </row>
    <row r="25" spans="1:12">
      <c r="A25" s="4"/>
      <c r="B25" s="58"/>
      <c r="C25" s="69" t="s">
        <v>147</v>
      </c>
      <c r="D25" s="65"/>
      <c r="E25" s="70"/>
      <c r="F25" s="71"/>
      <c r="G25" s="71"/>
      <c r="H25" s="65"/>
      <c r="I25" s="67">
        <f>SUM(I23:I24)</f>
        <v>820000</v>
      </c>
      <c r="J25" s="67">
        <f>SUM(J23:J24)</f>
        <v>185000</v>
      </c>
      <c r="K25" s="68">
        <f>SUM(K23:K24)</f>
        <v>1005000</v>
      </c>
      <c r="L25" s="11"/>
    </row>
    <row r="26" spans="1:12">
      <c r="A26" s="4"/>
      <c r="B26" s="58"/>
      <c r="C26" s="72" t="s">
        <v>100</v>
      </c>
      <c r="D26" s="60"/>
      <c r="E26" s="73">
        <v>0.12</v>
      </c>
      <c r="F26" s="74"/>
      <c r="G26" s="74"/>
      <c r="H26" s="60"/>
      <c r="I26" s="62">
        <f>SUM(I25*$E26)</f>
        <v>98400</v>
      </c>
      <c r="J26" s="62">
        <f>SUM(J25*$E26)</f>
        <v>22200</v>
      </c>
      <c r="K26" s="63">
        <f>SUM(K25*$E26)</f>
        <v>120600</v>
      </c>
      <c r="L26" s="11">
        <f>SUM(I26:J26)</f>
        <v>120600</v>
      </c>
    </row>
    <row r="27" spans="1:12">
      <c r="A27" s="4"/>
      <c r="B27" s="58"/>
      <c r="C27" s="69" t="s">
        <v>103</v>
      </c>
      <c r="D27" s="65"/>
      <c r="E27" s="70">
        <v>0.18</v>
      </c>
      <c r="F27" s="71"/>
      <c r="G27" s="71"/>
      <c r="H27" s="65"/>
      <c r="I27" s="67">
        <f>SUM(I17:I21)*E27</f>
        <v>0</v>
      </c>
      <c r="J27" s="67">
        <f>SUM(J17:J21)*E27</f>
        <v>0</v>
      </c>
      <c r="K27" s="68">
        <f>SUM(I27:J27)</f>
        <v>0</v>
      </c>
      <c r="L27" s="4"/>
    </row>
    <row r="28" spans="1:12" ht="16.149999999999999">
      <c r="A28" s="4"/>
      <c r="B28" s="75"/>
      <c r="C28" s="69" t="s">
        <v>148</v>
      </c>
      <c r="D28" s="65"/>
      <c r="E28" s="66"/>
      <c r="F28" s="65"/>
      <c r="G28" s="65"/>
      <c r="H28" s="65"/>
      <c r="I28" s="76">
        <f>SUM(I25:I27)</f>
        <v>918400</v>
      </c>
      <c r="J28" s="76">
        <f>SUM(J25:J27)</f>
        <v>207200</v>
      </c>
      <c r="K28" s="77">
        <f>SUM(K25:K27)</f>
        <v>1125600</v>
      </c>
      <c r="L28" s="12">
        <f>SUM(I28:J28)</f>
        <v>1125600</v>
      </c>
    </row>
    <row r="29" spans="1:12">
      <c r="A29" s="4"/>
      <c r="B29" s="5"/>
      <c r="C29" s="4"/>
      <c r="D29" s="4"/>
      <c r="E29" s="6"/>
      <c r="F29" s="13"/>
      <c r="G29" s="14"/>
      <c r="H29" s="4"/>
      <c r="I29" s="4"/>
      <c r="J29" s="4"/>
      <c r="K29" s="4"/>
      <c r="L29" s="4"/>
    </row>
    <row r="30" spans="1:12">
      <c r="A30" s="4"/>
      <c r="B30" s="52"/>
      <c r="C30" s="4"/>
      <c r="D30" s="4"/>
      <c r="E30" s="8"/>
      <c r="F30" s="11"/>
      <c r="G30" s="15"/>
      <c r="H30" s="4"/>
      <c r="J30" s="8" t="s">
        <v>102</v>
      </c>
      <c r="K30" s="11">
        <f>SUM(I17:I22)</f>
        <v>0</v>
      </c>
      <c r="L30" s="4"/>
    </row>
    <row r="31" spans="1:12">
      <c r="A31" s="4"/>
      <c r="B31" s="52"/>
      <c r="C31" s="4"/>
      <c r="D31" s="4"/>
      <c r="E31" s="8"/>
      <c r="F31" s="4"/>
      <c r="G31" s="4"/>
      <c r="H31" s="4"/>
      <c r="J31" s="8" t="s">
        <v>149</v>
      </c>
      <c r="K31" s="11">
        <f>SUM(K30*12%)</f>
        <v>0</v>
      </c>
      <c r="L31" s="4"/>
    </row>
    <row r="32" spans="1:12">
      <c r="A32" s="4"/>
      <c r="B32" s="5"/>
      <c r="C32" s="4"/>
      <c r="D32" s="4"/>
      <c r="E32" s="8"/>
      <c r="F32" s="4"/>
      <c r="G32" s="4"/>
      <c r="H32" s="4"/>
      <c r="J32" s="8" t="s">
        <v>150</v>
      </c>
      <c r="K32" s="11" cm="1">
        <f t="array" ref="K32">SUM(I17:I21*18%)</f>
        <v>0</v>
      </c>
      <c r="L32" s="4"/>
    </row>
    <row r="33" spans="1:12">
      <c r="A33" s="4"/>
      <c r="B33" s="5"/>
      <c r="C33" s="4"/>
      <c r="D33" s="4"/>
      <c r="E33" s="8"/>
      <c r="F33" s="4"/>
      <c r="G33" s="4"/>
      <c r="H33" s="4"/>
      <c r="J33" s="6" t="s">
        <v>105</v>
      </c>
      <c r="K33" s="51">
        <f>SUM(K30:K32)</f>
        <v>0</v>
      </c>
      <c r="L33" s="4"/>
    </row>
    <row r="34" spans="1:12">
      <c r="A34" s="4"/>
      <c r="B34" s="5"/>
      <c r="C34" s="4"/>
      <c r="D34" s="4"/>
      <c r="E34" s="8"/>
      <c r="F34" s="4"/>
      <c r="G34" s="4"/>
      <c r="H34" s="4"/>
      <c r="J34" s="2"/>
      <c r="K34" s="4"/>
      <c r="L34" s="4"/>
    </row>
    <row r="35" spans="1:12">
      <c r="A35" s="4"/>
      <c r="B35" s="5"/>
      <c r="C35" s="4"/>
      <c r="D35" s="4"/>
      <c r="E35" s="8"/>
      <c r="F35" s="4"/>
      <c r="G35" s="4"/>
      <c r="H35" s="4"/>
      <c r="J35" s="6" t="s">
        <v>151</v>
      </c>
      <c r="K35" s="51">
        <f>SUM(K23*1.12)</f>
        <v>1125600</v>
      </c>
      <c r="L35" s="4"/>
    </row>
    <row r="36" spans="1:12">
      <c r="A36" s="4"/>
      <c r="B36" s="5"/>
      <c r="C36" s="4"/>
      <c r="D36" s="4"/>
      <c r="E36" s="8"/>
      <c r="F36" s="4"/>
      <c r="G36" s="4"/>
      <c r="H36" s="4"/>
      <c r="I36" s="4"/>
      <c r="J36" s="4"/>
      <c r="K36" s="4"/>
      <c r="L36" s="4"/>
    </row>
    <row r="37" spans="1:12">
      <c r="B37" s="1"/>
      <c r="E37" s="2"/>
    </row>
    <row r="38" spans="1:12">
      <c r="B38" s="1"/>
      <c r="E38" s="2"/>
    </row>
    <row r="39" spans="1:12">
      <c r="B39" s="1"/>
      <c r="E39" s="2"/>
    </row>
    <row r="40" spans="1:12">
      <c r="B40" s="1"/>
      <c r="E40" s="2"/>
    </row>
    <row r="41" spans="1:12">
      <c r="B41" s="1"/>
      <c r="E41" s="2"/>
    </row>
    <row r="42" spans="1:12">
      <c r="B42" s="1"/>
      <c r="E42" s="2"/>
    </row>
    <row r="43" spans="1:12">
      <c r="B43" s="1"/>
      <c r="E43" s="2"/>
    </row>
    <row r="44" spans="1:12">
      <c r="B44" s="1"/>
      <c r="E44" s="2"/>
    </row>
    <row r="45" spans="1:12">
      <c r="B45" s="1"/>
      <c r="E45" s="2"/>
    </row>
    <row r="46" spans="1:12">
      <c r="B46" s="1"/>
      <c r="E46" s="2"/>
    </row>
    <row r="47" spans="1:12">
      <c r="B47" s="1"/>
      <c r="E47" s="2"/>
    </row>
    <row r="48" spans="1:12">
      <c r="B48" s="1"/>
      <c r="E48" s="2"/>
    </row>
    <row r="49" spans="2:5">
      <c r="B49" s="1"/>
      <c r="E49" s="2"/>
    </row>
    <row r="50" spans="2:5">
      <c r="B50" s="1"/>
      <c r="E50" s="2"/>
    </row>
    <row r="51" spans="2:5">
      <c r="B51" s="1"/>
      <c r="E51" s="2"/>
    </row>
    <row r="52" spans="2:5">
      <c r="B52" s="1"/>
      <c r="E52" s="2"/>
    </row>
    <row r="53" spans="2:5">
      <c r="B53" s="1"/>
      <c r="E53" s="2"/>
    </row>
    <row r="54" spans="2:5">
      <c r="B54" s="1"/>
      <c r="E54" s="2"/>
    </row>
    <row r="55" spans="2:5">
      <c r="B55" s="1"/>
      <c r="E55" s="2"/>
    </row>
    <row r="56" spans="2:5">
      <c r="B56" s="1"/>
      <c r="E56" s="2"/>
    </row>
    <row r="57" spans="2:5">
      <c r="B57" s="1"/>
      <c r="E57" s="2"/>
    </row>
    <row r="58" spans="2:5">
      <c r="B58" s="1"/>
      <c r="E58" s="2"/>
    </row>
    <row r="59" spans="2:5">
      <c r="B59" s="1"/>
      <c r="E59" s="2"/>
    </row>
    <row r="60" spans="2:5">
      <c r="B60" s="1"/>
      <c r="E60" s="2"/>
    </row>
    <row r="61" spans="2:5">
      <c r="B61" s="1"/>
      <c r="E61" s="2"/>
    </row>
    <row r="62" spans="2:5">
      <c r="B62" s="1"/>
      <c r="E62" s="2"/>
    </row>
    <row r="63" spans="2:5">
      <c r="B63" s="1"/>
      <c r="E63" s="2"/>
    </row>
    <row r="64" spans="2:5">
      <c r="B64" s="1"/>
      <c r="E64" s="2"/>
    </row>
    <row r="65" spans="2:5">
      <c r="B65" s="1"/>
      <c r="E65" s="2"/>
    </row>
    <row r="66" spans="2:5">
      <c r="B66" s="1"/>
      <c r="E66" s="2"/>
    </row>
    <row r="67" spans="2:5">
      <c r="B67" s="1"/>
      <c r="E67" s="2"/>
    </row>
    <row r="68" spans="2:5">
      <c r="B68" s="1"/>
      <c r="E68" s="2"/>
    </row>
    <row r="69" spans="2:5">
      <c r="B69" s="1"/>
      <c r="E69" s="2"/>
    </row>
    <row r="70" spans="2:5">
      <c r="B70" s="1"/>
      <c r="E70" s="2"/>
    </row>
    <row r="71" spans="2:5">
      <c r="B71" s="1"/>
      <c r="E71" s="2"/>
    </row>
    <row r="72" spans="2:5">
      <c r="B72" s="1"/>
      <c r="E72" s="2"/>
    </row>
    <row r="73" spans="2:5">
      <c r="B73" s="1"/>
      <c r="E73" s="2"/>
    </row>
    <row r="74" spans="2:5">
      <c r="B74" s="1"/>
      <c r="E74" s="2"/>
    </row>
    <row r="75" spans="2:5">
      <c r="B75" s="1"/>
      <c r="E75" s="2"/>
    </row>
    <row r="76" spans="2:5">
      <c r="B76" s="1"/>
      <c r="E76" s="2"/>
    </row>
    <row r="77" spans="2:5">
      <c r="B77" s="1"/>
      <c r="E77" s="2"/>
    </row>
    <row r="78" spans="2:5">
      <c r="B78" s="1"/>
      <c r="E78" s="2"/>
    </row>
    <row r="79" spans="2:5">
      <c r="B79" s="1"/>
      <c r="E79" s="2"/>
    </row>
    <row r="80" spans="2:5">
      <c r="B80" s="1"/>
      <c r="E80" s="2"/>
    </row>
    <row r="81" spans="2:5">
      <c r="B81" s="1"/>
      <c r="E8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DE76-0911-483C-B41B-6118EA16E479}">
  <dimension ref="A1:R81"/>
  <sheetViews>
    <sheetView topLeftCell="B1" workbookViewId="0">
      <selection activeCell="P15" sqref="P15"/>
    </sheetView>
  </sheetViews>
  <sheetFormatPr defaultRowHeight="14.45"/>
  <cols>
    <col min="1" max="1" width="28.7109375" customWidth="1"/>
    <col min="2" max="2" width="24" customWidth="1"/>
    <col min="3" max="3" width="32.140625" customWidth="1"/>
    <col min="4" max="4" width="41.7109375" customWidth="1"/>
    <col min="5" max="5" width="21.7109375" customWidth="1"/>
    <col min="6" max="6" width="19" customWidth="1"/>
    <col min="7" max="7" width="17.7109375" customWidth="1"/>
    <col min="8" max="8" width="21.28515625" customWidth="1"/>
    <col min="9" max="9" width="23.42578125" customWidth="1"/>
    <col min="10" max="10" width="20.85546875" customWidth="1"/>
    <col min="11" max="11" width="18.28515625" customWidth="1"/>
    <col min="12" max="12" width="19.42578125" customWidth="1"/>
    <col min="13" max="13" width="20.28515625" customWidth="1"/>
    <col min="14" max="14" width="21" customWidth="1"/>
    <col min="15" max="16" width="22.28515625" customWidth="1"/>
    <col min="17" max="17" width="24" customWidth="1"/>
    <col min="18" max="18" width="25.140625" customWidth="1"/>
  </cols>
  <sheetData>
    <row r="1" spans="1:18">
      <c r="A1" s="4"/>
      <c r="B1" s="5"/>
      <c r="C1" s="6" t="s">
        <v>0</v>
      </c>
      <c r="D1" s="7" t="s">
        <v>1</v>
      </c>
      <c r="E1" s="8"/>
      <c r="F1" s="4"/>
      <c r="G1" s="4"/>
      <c r="H1" s="4"/>
      <c r="I1" s="4"/>
      <c r="J1" s="4"/>
      <c r="K1" s="4"/>
      <c r="L1" s="4"/>
    </row>
    <row r="2" spans="1:18">
      <c r="A2" s="4"/>
      <c r="B2" s="5"/>
      <c r="C2" s="6" t="s">
        <v>2</v>
      </c>
      <c r="D2" s="4" t="s">
        <v>121</v>
      </c>
      <c r="E2" s="8"/>
      <c r="F2" s="4"/>
      <c r="G2" s="4"/>
      <c r="H2" s="4"/>
      <c r="I2" s="4"/>
      <c r="J2" s="4"/>
      <c r="K2" s="4"/>
      <c r="L2" s="4"/>
    </row>
    <row r="3" spans="1:18">
      <c r="A3" s="4"/>
      <c r="B3" s="5"/>
      <c r="C3" s="6" t="s">
        <v>4</v>
      </c>
      <c r="D3" s="9" t="s">
        <v>122</v>
      </c>
      <c r="E3" s="8"/>
      <c r="F3" s="4"/>
      <c r="G3" s="4"/>
      <c r="H3" s="4"/>
      <c r="I3" s="4"/>
      <c r="J3" s="4"/>
      <c r="K3" s="4"/>
      <c r="L3" s="4"/>
    </row>
    <row r="4" spans="1:18">
      <c r="A4" s="4"/>
      <c r="B4" s="5"/>
      <c r="C4" s="6" t="s">
        <v>6</v>
      </c>
      <c r="D4" s="10" t="s">
        <v>123</v>
      </c>
      <c r="E4" s="8"/>
      <c r="F4" s="4"/>
      <c r="G4" s="4"/>
      <c r="H4" s="4"/>
      <c r="I4" s="4"/>
      <c r="J4" s="4"/>
      <c r="K4" s="4"/>
      <c r="L4" s="4"/>
    </row>
    <row r="5" spans="1:18">
      <c r="A5" s="4"/>
      <c r="B5" s="5"/>
      <c r="C5" s="4"/>
      <c r="D5" s="4"/>
      <c r="E5" s="8"/>
      <c r="F5" s="4"/>
      <c r="G5" s="4"/>
      <c r="H5" s="103" t="s">
        <v>124</v>
      </c>
      <c r="I5" s="4"/>
      <c r="J5" s="4"/>
      <c r="K5" s="4"/>
      <c r="L5" s="4"/>
    </row>
    <row r="6" spans="1:18" ht="18.75" customHeight="1">
      <c r="A6" s="4"/>
      <c r="B6" s="54" t="s">
        <v>125</v>
      </c>
      <c r="C6" s="55" t="s">
        <v>8</v>
      </c>
      <c r="D6" s="55" t="s">
        <v>9</v>
      </c>
      <c r="E6" s="55" t="s">
        <v>126</v>
      </c>
      <c r="F6" s="55" t="s">
        <v>11</v>
      </c>
      <c r="G6" s="55" t="s">
        <v>12</v>
      </c>
      <c r="H6" s="55" t="s">
        <v>13</v>
      </c>
      <c r="I6" s="78" t="s">
        <v>127</v>
      </c>
      <c r="J6" s="78" t="s">
        <v>128</v>
      </c>
      <c r="K6" s="56" t="s">
        <v>17</v>
      </c>
      <c r="L6" s="57" t="s">
        <v>129</v>
      </c>
      <c r="M6" s="101" t="s">
        <v>130</v>
      </c>
      <c r="N6" s="102" t="s">
        <v>131</v>
      </c>
      <c r="O6" s="106" t="s">
        <v>152</v>
      </c>
      <c r="P6" s="134" t="s">
        <v>134</v>
      </c>
      <c r="Q6" s="111" t="s">
        <v>135</v>
      </c>
      <c r="R6" s="111" t="s">
        <v>136</v>
      </c>
    </row>
    <row r="7" spans="1:18">
      <c r="A7" s="4"/>
      <c r="B7" s="19" t="s">
        <v>137</v>
      </c>
      <c r="C7" s="20"/>
      <c r="D7" s="21"/>
      <c r="E7" s="22"/>
      <c r="F7" s="20"/>
      <c r="G7" s="50"/>
      <c r="H7" s="21"/>
      <c r="I7" s="23"/>
      <c r="J7" s="24"/>
      <c r="K7" s="25"/>
      <c r="L7" s="81">
        <f>SUM(K8:K9)/K23</f>
        <v>0.27860696517412936</v>
      </c>
    </row>
    <row r="8" spans="1:18" ht="219.75" customHeight="1">
      <c r="A8" s="4"/>
      <c r="B8" s="80" t="s">
        <v>153</v>
      </c>
      <c r="C8" s="104" t="s">
        <v>154</v>
      </c>
      <c r="D8" s="86" t="s">
        <v>155</v>
      </c>
      <c r="E8" s="46" t="e">
        <f>K8/G8</f>
        <v>#REF!</v>
      </c>
      <c r="F8" s="45" t="e">
        <f>#REF!</f>
        <v>#REF!</v>
      </c>
      <c r="G8" s="107" t="e">
        <f>#REF!</f>
        <v>#REF!</v>
      </c>
      <c r="H8" s="98" t="s">
        <v>156</v>
      </c>
      <c r="I8" s="79">
        <v>200000</v>
      </c>
      <c r="J8" s="79">
        <v>0</v>
      </c>
      <c r="K8" s="83" cm="1">
        <f t="array" ref="K8:L8">I8:J8</f>
        <v>200000</v>
      </c>
      <c r="L8">
        <v>0</v>
      </c>
      <c r="M8" s="112">
        <v>7200000</v>
      </c>
      <c r="N8" s="112">
        <v>8500000</v>
      </c>
      <c r="O8" s="115">
        <v>1.5</v>
      </c>
      <c r="P8" s="94" t="e">
        <f>E8/O8</f>
        <v>#REF!</v>
      </c>
      <c r="Q8" s="95" t="e">
        <f>P8/M8</f>
        <v>#REF!</v>
      </c>
      <c r="R8" s="95" t="e">
        <f>P8/N8</f>
        <v>#REF!</v>
      </c>
    </row>
    <row r="9" spans="1:18" ht="215.25" customHeight="1">
      <c r="A9" s="4"/>
      <c r="B9" s="80"/>
      <c r="C9" s="135" t="s">
        <v>157</v>
      </c>
      <c r="D9" s="86" t="s">
        <v>155</v>
      </c>
      <c r="E9" s="84" t="e">
        <f>K9/G9</f>
        <v>#REF!</v>
      </c>
      <c r="F9" s="85" t="e">
        <f>#REF!</f>
        <v>#REF!</v>
      </c>
      <c r="G9" s="107" t="e">
        <f>#REF!</f>
        <v>#REF!</v>
      </c>
      <c r="H9" s="98" t="s">
        <v>158</v>
      </c>
      <c r="I9" s="79">
        <v>0</v>
      </c>
      <c r="J9" s="79">
        <v>80000</v>
      </c>
      <c r="K9" s="83">
        <f>SUM(I9:J9)</f>
        <v>80000</v>
      </c>
      <c r="M9" s="112">
        <v>7200000</v>
      </c>
      <c r="N9" s="112">
        <v>8500000</v>
      </c>
      <c r="O9" s="115">
        <v>2.5</v>
      </c>
      <c r="P9" s="94" t="e">
        <f>E9/O9</f>
        <v>#REF!</v>
      </c>
      <c r="Q9" s="95" t="e">
        <f>P9/M9</f>
        <v>#REF!</v>
      </c>
      <c r="R9" s="95" t="e">
        <f>P9/N9</f>
        <v>#REF!</v>
      </c>
    </row>
    <row r="10" spans="1:18">
      <c r="A10" s="4"/>
      <c r="B10" s="44"/>
      <c r="C10" s="45"/>
      <c r="D10" s="87"/>
      <c r="E10" s="84"/>
      <c r="F10" s="85"/>
      <c r="G10" s="107"/>
      <c r="H10" s="98"/>
      <c r="I10" s="79"/>
      <c r="J10" s="79"/>
      <c r="K10" s="83">
        <f t="shared" ref="K10:K14" si="0">SUM(I10:J10)</f>
        <v>0</v>
      </c>
      <c r="O10" s="114"/>
      <c r="P10" s="95"/>
    </row>
    <row r="11" spans="1:18">
      <c r="A11" s="4"/>
      <c r="B11" s="16" t="s">
        <v>141</v>
      </c>
      <c r="C11" s="96"/>
      <c r="D11" s="18"/>
      <c r="E11" s="17"/>
      <c r="F11" s="17"/>
      <c r="G11" s="108"/>
      <c r="H11" s="99"/>
      <c r="I11" s="17"/>
      <c r="J11" s="18"/>
      <c r="K11" s="83">
        <f t="shared" si="0"/>
        <v>0</v>
      </c>
      <c r="L11" s="81">
        <f>SUM(K12:K12)/K23</f>
        <v>0.22388059701492538</v>
      </c>
      <c r="O11" s="114"/>
      <c r="P11" s="95"/>
    </row>
    <row r="12" spans="1:18" ht="197.25" customHeight="1">
      <c r="A12" s="4"/>
      <c r="B12" s="88"/>
      <c r="C12" s="125" t="s">
        <v>159</v>
      </c>
      <c r="D12" s="87" t="s">
        <v>163</v>
      </c>
      <c r="E12" s="126" t="e">
        <f>K12/G12</f>
        <v>#REF!</v>
      </c>
      <c r="F12" s="127" t="e">
        <f>#REF!</f>
        <v>#REF!</v>
      </c>
      <c r="G12" s="128" t="e">
        <f>#REF!</f>
        <v>#REF!</v>
      </c>
      <c r="H12" s="98" t="s">
        <v>140</v>
      </c>
      <c r="I12" s="79">
        <v>120000</v>
      </c>
      <c r="J12" s="79">
        <v>105000</v>
      </c>
      <c r="K12" s="83">
        <f>SUM(I12:J12)</f>
        <v>225000</v>
      </c>
      <c r="L12" s="4"/>
      <c r="M12" s="113" t="s">
        <v>143</v>
      </c>
      <c r="N12" s="113" t="s">
        <v>143</v>
      </c>
      <c r="O12" s="116">
        <v>1.5</v>
      </c>
      <c r="P12" s="94" t="e">
        <f>E12/O12</f>
        <v>#REF!</v>
      </c>
    </row>
    <row r="13" spans="1:18">
      <c r="A13" s="4"/>
      <c r="B13" s="117"/>
      <c r="C13" s="119"/>
      <c r="D13" s="118"/>
      <c r="E13" s="93"/>
      <c r="F13" s="130"/>
      <c r="G13" s="109"/>
      <c r="H13" s="98"/>
      <c r="I13" s="79"/>
      <c r="J13" s="79"/>
      <c r="K13" s="83">
        <f t="shared" si="0"/>
        <v>0</v>
      </c>
      <c r="L13" s="4"/>
      <c r="M13" s="113"/>
      <c r="N13" s="113"/>
      <c r="O13" s="116"/>
      <c r="P13" s="95"/>
    </row>
    <row r="14" spans="1:18">
      <c r="A14" s="4"/>
      <c r="B14" s="19" t="s">
        <v>144</v>
      </c>
      <c r="C14" s="97"/>
      <c r="D14" s="21"/>
      <c r="E14" s="91"/>
      <c r="F14" s="89"/>
      <c r="G14" s="110"/>
      <c r="H14" s="100"/>
      <c r="I14" s="90"/>
      <c r="J14" s="90"/>
      <c r="K14" s="83">
        <f t="shared" si="0"/>
        <v>0</v>
      </c>
      <c r="L14" s="81">
        <f>SUM(K15:K15)/K23</f>
        <v>0.49751243781094528</v>
      </c>
      <c r="O14" s="114"/>
      <c r="P14" s="95"/>
    </row>
    <row r="15" spans="1:18" ht="231" customHeight="1">
      <c r="A15" s="4"/>
      <c r="B15" s="44" t="s">
        <v>160</v>
      </c>
      <c r="C15" s="105" t="s">
        <v>154</v>
      </c>
      <c r="D15" s="92" t="s">
        <v>161</v>
      </c>
      <c r="E15" s="129" t="e">
        <f>K15/G15</f>
        <v>#REF!</v>
      </c>
      <c r="F15" s="120" t="e">
        <f>#REF!</f>
        <v>#REF!</v>
      </c>
      <c r="G15" s="121" t="e">
        <f>#REF!</f>
        <v>#REF!</v>
      </c>
      <c r="H15" s="122" t="s">
        <v>162</v>
      </c>
      <c r="I15" s="123">
        <v>500000</v>
      </c>
      <c r="J15" s="123"/>
      <c r="K15" s="83">
        <f>SUM(I15:J15)</f>
        <v>500000</v>
      </c>
      <c r="L15" s="53"/>
      <c r="M15" s="112">
        <v>8951000</v>
      </c>
      <c r="N15" s="112">
        <v>10941000</v>
      </c>
      <c r="O15" s="114">
        <v>4.5</v>
      </c>
      <c r="P15" s="94" t="e">
        <f>E15/O15</f>
        <v>#REF!</v>
      </c>
      <c r="Q15" s="95" t="e">
        <f>P15/M15</f>
        <v>#REF!</v>
      </c>
      <c r="R15" s="95" t="e">
        <f>P15/N15</f>
        <v>#REF!</v>
      </c>
    </row>
    <row r="16" spans="1:18">
      <c r="A16" s="4"/>
      <c r="B16" s="19" t="s">
        <v>73</v>
      </c>
      <c r="C16" s="50"/>
      <c r="D16" s="21"/>
      <c r="E16" s="22"/>
      <c r="F16" s="20"/>
      <c r="G16" s="20"/>
      <c r="H16" s="21"/>
      <c r="I16" s="26"/>
      <c r="J16" s="26"/>
      <c r="K16" s="25"/>
      <c r="L16" s="4"/>
      <c r="O16" s="94"/>
      <c r="P16" s="95"/>
    </row>
    <row r="17" spans="1:12">
      <c r="A17" s="4"/>
      <c r="B17" s="48"/>
      <c r="C17" s="36"/>
      <c r="D17" s="31"/>
      <c r="E17" s="32"/>
      <c r="F17" s="131"/>
      <c r="G17" s="29"/>
      <c r="H17" s="35"/>
      <c r="I17" s="38"/>
      <c r="J17" s="29"/>
      <c r="K17" s="41">
        <f t="shared" ref="K17:K22" si="1">SUM(I17:J17)</f>
        <v>0</v>
      </c>
      <c r="L17" s="4"/>
    </row>
    <row r="18" spans="1:12">
      <c r="A18" s="4"/>
      <c r="B18" s="49"/>
      <c r="C18" s="36"/>
      <c r="D18" s="30"/>
      <c r="E18" s="33"/>
      <c r="F18" s="132"/>
      <c r="G18" s="5"/>
      <c r="H18" s="36"/>
      <c r="I18" s="39"/>
      <c r="J18" s="5"/>
      <c r="K18" s="42">
        <f t="shared" si="1"/>
        <v>0</v>
      </c>
      <c r="L18" s="4"/>
    </row>
    <row r="19" spans="1:12">
      <c r="A19" s="4"/>
      <c r="B19" s="49"/>
      <c r="C19" s="36"/>
      <c r="D19" s="30"/>
      <c r="E19" s="33"/>
      <c r="F19" s="132"/>
      <c r="G19" s="5"/>
      <c r="H19" s="36"/>
      <c r="I19" s="39"/>
      <c r="J19" s="5"/>
      <c r="K19" s="42">
        <f t="shared" si="1"/>
        <v>0</v>
      </c>
      <c r="L19" s="4"/>
    </row>
    <row r="20" spans="1:12">
      <c r="A20" s="4"/>
      <c r="B20" s="49"/>
      <c r="C20" s="36"/>
      <c r="D20" s="30"/>
      <c r="E20" s="33"/>
      <c r="F20" s="132"/>
      <c r="G20" s="5"/>
      <c r="H20" s="36"/>
      <c r="I20" s="39"/>
      <c r="J20" s="5"/>
      <c r="K20" s="42">
        <f t="shared" si="1"/>
        <v>0</v>
      </c>
      <c r="L20" s="4"/>
    </row>
    <row r="21" spans="1:12">
      <c r="A21" s="4"/>
      <c r="B21" s="49"/>
      <c r="C21" s="36"/>
      <c r="D21" s="30"/>
      <c r="E21" s="33"/>
      <c r="F21" s="132"/>
      <c r="G21" s="5"/>
      <c r="H21" s="36"/>
      <c r="I21" s="39"/>
      <c r="J21" s="5"/>
      <c r="K21" s="42">
        <f t="shared" si="1"/>
        <v>0</v>
      </c>
      <c r="L21" s="4"/>
    </row>
    <row r="22" spans="1:12">
      <c r="A22" s="4"/>
      <c r="B22" s="27"/>
      <c r="C22" s="47"/>
      <c r="D22" s="47"/>
      <c r="E22" s="34"/>
      <c r="F22" s="133"/>
      <c r="G22" s="28"/>
      <c r="H22" s="37"/>
      <c r="I22" s="40"/>
      <c r="J22" s="28"/>
      <c r="K22" s="43">
        <f t="shared" si="1"/>
        <v>0</v>
      </c>
      <c r="L22" s="4"/>
    </row>
    <row r="23" spans="1:12">
      <c r="A23" s="4"/>
      <c r="B23" s="58" t="s">
        <v>146</v>
      </c>
      <c r="C23" s="59" t="s">
        <v>99</v>
      </c>
      <c r="D23" s="60"/>
      <c r="E23" s="61"/>
      <c r="F23" s="60"/>
      <c r="G23" s="60"/>
      <c r="H23" s="60"/>
      <c r="I23" s="62">
        <f>SUM(I8:I15)</f>
        <v>820000</v>
      </c>
      <c r="J23" s="62">
        <f>SUM(J8:J15)</f>
        <v>185000</v>
      </c>
      <c r="K23" s="63">
        <f>SUM(K8:K16)</f>
        <v>1005000</v>
      </c>
      <c r="L23" s="11">
        <f>SUM(I23:J23)</f>
        <v>1005000</v>
      </c>
    </row>
    <row r="24" spans="1:12">
      <c r="A24" s="4"/>
      <c r="B24" s="58"/>
      <c r="C24" s="64" t="s">
        <v>102</v>
      </c>
      <c r="D24" s="65"/>
      <c r="E24" s="66"/>
      <c r="F24" s="65"/>
      <c r="G24" s="65"/>
      <c r="H24" s="65"/>
      <c r="I24" s="67">
        <f>SUM(I17:I22)</f>
        <v>0</v>
      </c>
      <c r="J24" s="67">
        <f>SUM(J17:J21)</f>
        <v>0</v>
      </c>
      <c r="K24" s="68">
        <f>SUM(K17:K22)</f>
        <v>0</v>
      </c>
      <c r="L24" s="11"/>
    </row>
    <row r="25" spans="1:12">
      <c r="A25" s="4"/>
      <c r="B25" s="58"/>
      <c r="C25" s="69" t="s">
        <v>147</v>
      </c>
      <c r="D25" s="65"/>
      <c r="E25" s="70"/>
      <c r="F25" s="71"/>
      <c r="G25" s="71"/>
      <c r="H25" s="65"/>
      <c r="I25" s="67">
        <f>SUM(I23:I24)</f>
        <v>820000</v>
      </c>
      <c r="J25" s="67">
        <f>SUM(J23:J24)</f>
        <v>185000</v>
      </c>
      <c r="K25" s="68">
        <f>SUM(K23:K24)</f>
        <v>1005000</v>
      </c>
      <c r="L25" s="11"/>
    </row>
    <row r="26" spans="1:12">
      <c r="A26" s="4"/>
      <c r="B26" s="58"/>
      <c r="C26" s="72" t="s">
        <v>100</v>
      </c>
      <c r="D26" s="60"/>
      <c r="E26" s="73">
        <v>0.12</v>
      </c>
      <c r="F26" s="74"/>
      <c r="G26" s="74"/>
      <c r="H26" s="60"/>
      <c r="I26" s="62">
        <f>SUM(I25*$E26)</f>
        <v>98400</v>
      </c>
      <c r="J26" s="62">
        <f>SUM(J25*$E26)</f>
        <v>22200</v>
      </c>
      <c r="K26" s="63">
        <f>SUM(K25*$E26)</f>
        <v>120600</v>
      </c>
      <c r="L26" s="11">
        <f>SUM(I26:J26)</f>
        <v>120600</v>
      </c>
    </row>
    <row r="27" spans="1:12">
      <c r="A27" s="4"/>
      <c r="B27" s="58"/>
      <c r="C27" s="69" t="s">
        <v>103</v>
      </c>
      <c r="D27" s="65"/>
      <c r="E27" s="70">
        <v>0.18</v>
      </c>
      <c r="F27" s="71"/>
      <c r="G27" s="71"/>
      <c r="H27" s="65"/>
      <c r="I27" s="67">
        <f>SUM(I17:I21)*E27</f>
        <v>0</v>
      </c>
      <c r="J27" s="67">
        <f>SUM(J17:J21)*E27</f>
        <v>0</v>
      </c>
      <c r="K27" s="68">
        <f>SUM(I27:J27)</f>
        <v>0</v>
      </c>
      <c r="L27" s="4"/>
    </row>
    <row r="28" spans="1:12" ht="16.149999999999999">
      <c r="A28" s="4"/>
      <c r="B28" s="75"/>
      <c r="C28" s="69" t="s">
        <v>148</v>
      </c>
      <c r="D28" s="65"/>
      <c r="E28" s="66"/>
      <c r="F28" s="65"/>
      <c r="G28" s="65"/>
      <c r="H28" s="65"/>
      <c r="I28" s="76">
        <f>SUM(I25:I27)</f>
        <v>918400</v>
      </c>
      <c r="J28" s="76">
        <f>SUM(J25:J27)</f>
        <v>207200</v>
      </c>
      <c r="K28" s="77">
        <f>SUM(K25:K27)</f>
        <v>1125600</v>
      </c>
      <c r="L28" s="12">
        <f>SUM(I28:J28)</f>
        <v>1125600</v>
      </c>
    </row>
    <row r="29" spans="1:12">
      <c r="A29" s="4"/>
      <c r="B29" s="5"/>
      <c r="C29" s="4"/>
      <c r="D29" s="4"/>
      <c r="E29" s="6"/>
      <c r="F29" s="13"/>
      <c r="G29" s="14"/>
      <c r="H29" s="4"/>
      <c r="I29" s="4"/>
      <c r="J29" s="4"/>
      <c r="K29" s="4"/>
      <c r="L29" s="4"/>
    </row>
    <row r="30" spans="1:12">
      <c r="A30" s="4"/>
      <c r="B30" s="52"/>
      <c r="C30" s="4"/>
      <c r="D30" s="4"/>
      <c r="E30" s="8"/>
      <c r="F30" s="11"/>
      <c r="G30" s="15"/>
      <c r="H30" s="4"/>
      <c r="J30" s="8" t="s">
        <v>102</v>
      </c>
      <c r="K30" s="11">
        <f>SUM(I17:I22)</f>
        <v>0</v>
      </c>
      <c r="L30" s="4"/>
    </row>
    <row r="31" spans="1:12">
      <c r="A31" s="4"/>
      <c r="B31" s="52"/>
      <c r="C31" s="4"/>
      <c r="D31" s="4"/>
      <c r="E31" s="8"/>
      <c r="F31" s="4"/>
      <c r="G31" s="4"/>
      <c r="H31" s="4"/>
      <c r="J31" s="8" t="s">
        <v>149</v>
      </c>
      <c r="K31" s="11">
        <f>SUM(K30*12%)</f>
        <v>0</v>
      </c>
      <c r="L31" s="4"/>
    </row>
    <row r="32" spans="1:12">
      <c r="A32" s="4"/>
      <c r="B32" s="5"/>
      <c r="C32" s="4"/>
      <c r="D32" s="4"/>
      <c r="E32" s="8"/>
      <c r="F32" s="4"/>
      <c r="G32" s="4"/>
      <c r="H32" s="4"/>
      <c r="J32" s="8" t="s">
        <v>150</v>
      </c>
      <c r="K32" s="11" cm="1">
        <f t="array" ref="K32">SUM(I17:I21*18%)</f>
        <v>0</v>
      </c>
      <c r="L32" s="4"/>
    </row>
    <row r="33" spans="1:12">
      <c r="A33" s="4"/>
      <c r="B33" s="5"/>
      <c r="C33" s="4"/>
      <c r="D33" s="4"/>
      <c r="E33" s="8"/>
      <c r="F33" s="4"/>
      <c r="G33" s="4"/>
      <c r="H33" s="4"/>
      <c r="J33" s="6" t="s">
        <v>105</v>
      </c>
      <c r="K33" s="51">
        <f>SUM(K30:K32)</f>
        <v>0</v>
      </c>
      <c r="L33" s="4"/>
    </row>
    <row r="34" spans="1:12">
      <c r="A34" s="4"/>
      <c r="B34" s="5"/>
      <c r="C34" s="4"/>
      <c r="D34" s="4"/>
      <c r="E34" s="8"/>
      <c r="F34" s="4"/>
      <c r="G34" s="4"/>
      <c r="H34" s="4"/>
      <c r="J34" s="2"/>
      <c r="K34" s="4"/>
      <c r="L34" s="4"/>
    </row>
    <row r="35" spans="1:12">
      <c r="A35" s="4"/>
      <c r="B35" s="5"/>
      <c r="C35" s="4"/>
      <c r="D35" s="4"/>
      <c r="E35" s="8"/>
      <c r="F35" s="4"/>
      <c r="G35" s="4"/>
      <c r="H35" s="4"/>
      <c r="J35" s="6" t="s">
        <v>151</v>
      </c>
      <c r="K35" s="51">
        <f>SUM(K23*1.12)</f>
        <v>1125600</v>
      </c>
      <c r="L35" s="4"/>
    </row>
    <row r="36" spans="1:12">
      <c r="A36" s="4"/>
      <c r="B36" s="5"/>
      <c r="C36" s="4"/>
      <c r="D36" s="4"/>
      <c r="E36" s="8"/>
      <c r="F36" s="4"/>
      <c r="G36" s="4"/>
      <c r="H36" s="4"/>
      <c r="I36" s="4"/>
      <c r="J36" s="4"/>
      <c r="K36" s="4"/>
      <c r="L36" s="4"/>
    </row>
    <row r="37" spans="1:12">
      <c r="B37" s="1"/>
      <c r="E37" s="2"/>
    </row>
    <row r="38" spans="1:12">
      <c r="B38" s="1"/>
      <c r="E38" s="2"/>
    </row>
    <row r="39" spans="1:12">
      <c r="B39" s="1"/>
      <c r="E39" s="2"/>
    </row>
    <row r="40" spans="1:12">
      <c r="B40" s="1"/>
      <c r="E40" s="2"/>
    </row>
    <row r="41" spans="1:12">
      <c r="B41" s="1"/>
      <c r="E41" s="2"/>
    </row>
    <row r="42" spans="1:12">
      <c r="B42" s="1"/>
      <c r="E42" s="2"/>
    </row>
    <row r="43" spans="1:12">
      <c r="B43" s="1"/>
      <c r="E43" s="2"/>
    </row>
    <row r="44" spans="1:12">
      <c r="B44" s="1"/>
      <c r="E44" s="2"/>
    </row>
    <row r="45" spans="1:12">
      <c r="B45" s="1"/>
      <c r="E45" s="2"/>
    </row>
    <row r="46" spans="1:12">
      <c r="B46" s="1"/>
      <c r="E46" s="2"/>
    </row>
    <row r="47" spans="1:12">
      <c r="B47" s="1"/>
      <c r="E47" s="2"/>
    </row>
    <row r="48" spans="1:12">
      <c r="B48" s="1"/>
      <c r="E48" s="2"/>
    </row>
    <row r="49" spans="2:5">
      <c r="B49" s="1"/>
      <c r="E49" s="2"/>
    </row>
    <row r="50" spans="2:5">
      <c r="B50" s="1"/>
      <c r="E50" s="2"/>
    </row>
    <row r="51" spans="2:5">
      <c r="B51" s="1"/>
      <c r="E51" s="2"/>
    </row>
    <row r="52" spans="2:5">
      <c r="B52" s="1"/>
      <c r="E52" s="2"/>
    </row>
    <row r="53" spans="2:5">
      <c r="B53" s="1"/>
      <c r="E53" s="2"/>
    </row>
    <row r="54" spans="2:5">
      <c r="B54" s="1"/>
      <c r="E54" s="2"/>
    </row>
    <row r="55" spans="2:5">
      <c r="B55" s="1"/>
      <c r="E55" s="2"/>
    </row>
    <row r="56" spans="2:5">
      <c r="B56" s="1"/>
      <c r="E56" s="2"/>
    </row>
    <row r="57" spans="2:5">
      <c r="B57" s="1"/>
      <c r="E57" s="2"/>
    </row>
    <row r="58" spans="2:5">
      <c r="B58" s="1"/>
      <c r="E58" s="2"/>
    </row>
    <row r="59" spans="2:5">
      <c r="B59" s="1"/>
      <c r="E59" s="2"/>
    </row>
    <row r="60" spans="2:5">
      <c r="B60" s="1"/>
      <c r="E60" s="2"/>
    </row>
    <row r="61" spans="2:5">
      <c r="B61" s="1"/>
      <c r="E61" s="2"/>
    </row>
    <row r="62" spans="2:5">
      <c r="B62" s="1"/>
      <c r="E62" s="2"/>
    </row>
    <row r="63" spans="2:5">
      <c r="B63" s="1"/>
      <c r="E63" s="2"/>
    </row>
    <row r="64" spans="2:5">
      <c r="B64" s="1"/>
      <c r="E64" s="2"/>
    </row>
    <row r="65" spans="2:5">
      <c r="B65" s="1"/>
      <c r="E65" s="2"/>
    </row>
    <row r="66" spans="2:5">
      <c r="B66" s="1"/>
      <c r="E66" s="2"/>
    </row>
    <row r="67" spans="2:5">
      <c r="B67" s="1"/>
      <c r="E67" s="2"/>
    </row>
    <row r="68" spans="2:5">
      <c r="B68" s="1"/>
      <c r="E68" s="2"/>
    </row>
    <row r="69" spans="2:5">
      <c r="B69" s="1"/>
      <c r="E69" s="2"/>
    </row>
    <row r="70" spans="2:5">
      <c r="B70" s="1"/>
      <c r="E70" s="2"/>
    </row>
    <row r="71" spans="2:5">
      <c r="B71" s="1"/>
      <c r="E71" s="2"/>
    </row>
    <row r="72" spans="2:5">
      <c r="B72" s="1"/>
      <c r="E72" s="2"/>
    </row>
    <row r="73" spans="2:5">
      <c r="B73" s="1"/>
      <c r="E73" s="2"/>
    </row>
    <row r="74" spans="2:5">
      <c r="B74" s="1"/>
      <c r="E74" s="2"/>
    </row>
    <row r="75" spans="2:5">
      <c r="B75" s="1"/>
      <c r="E75" s="2"/>
    </row>
    <row r="76" spans="2:5">
      <c r="B76" s="1"/>
      <c r="E76" s="2"/>
    </row>
    <row r="77" spans="2:5">
      <c r="B77" s="1"/>
      <c r="E77" s="2"/>
    </row>
    <row r="78" spans="2:5">
      <c r="B78" s="1"/>
      <c r="E78" s="2"/>
    </row>
    <row r="79" spans="2:5">
      <c r="B79" s="1"/>
      <c r="E79" s="2"/>
    </row>
    <row r="80" spans="2:5">
      <c r="B80" s="1"/>
      <c r="E80" s="2"/>
    </row>
    <row r="81" spans="2:5">
      <c r="B81" s="1"/>
      <c r="E8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E927-EC28-4250-A1A8-E4E910116D53}">
  <sheetPr>
    <pageSetUpPr fitToPage="1"/>
  </sheetPr>
  <dimension ref="B1:N61"/>
  <sheetViews>
    <sheetView workbookViewId="0">
      <pane ySplit="5" topLeftCell="A22" activePane="bottomLeft" state="frozen"/>
      <selection pane="bottomLeft" activeCell="M23" sqref="M23"/>
    </sheetView>
  </sheetViews>
  <sheetFormatPr defaultRowHeight="14.45"/>
  <cols>
    <col min="2" max="2" width="23.140625" style="146" customWidth="1"/>
    <col min="3" max="3" width="21.42578125" style="146" customWidth="1"/>
    <col min="4" max="4" width="108.85546875" style="146" customWidth="1"/>
    <col min="5" max="5" width="19.7109375" style="146" customWidth="1"/>
    <col min="6" max="8" width="14.140625" style="146" customWidth="1"/>
    <col min="9" max="9" width="18.7109375" style="146" customWidth="1"/>
    <col min="10" max="10" width="15.140625" style="146" customWidth="1"/>
    <col min="11" max="12" width="16.42578125" style="146" customWidth="1"/>
    <col min="13" max="13" width="14.85546875" style="146" customWidth="1"/>
    <col min="14" max="14" width="14.5703125" customWidth="1"/>
    <col min="15" max="15" width="9.42578125" bestFit="1" customWidth="1"/>
  </cols>
  <sheetData>
    <row r="1" spans="2:13">
      <c r="B1" s="263"/>
      <c r="C1" s="144" t="s">
        <v>0</v>
      </c>
      <c r="D1" s="145" t="s">
        <v>1</v>
      </c>
      <c r="E1" s="264"/>
      <c r="F1" s="265"/>
      <c r="G1" s="265"/>
      <c r="H1" s="265"/>
      <c r="I1" s="265"/>
      <c r="J1" s="265"/>
      <c r="K1" s="265"/>
      <c r="L1" s="265"/>
      <c r="M1" s="265"/>
    </row>
    <row r="2" spans="2:13">
      <c r="B2" s="263"/>
      <c r="C2" s="144" t="s">
        <v>2</v>
      </c>
      <c r="D2" s="265" t="s">
        <v>3</v>
      </c>
      <c r="E2" s="264"/>
      <c r="F2" s="265"/>
      <c r="G2" s="265"/>
      <c r="H2" s="265"/>
      <c r="I2" s="265"/>
      <c r="J2" s="265"/>
      <c r="K2" s="265"/>
      <c r="L2" s="265"/>
      <c r="M2" s="265"/>
    </row>
    <row r="3" spans="2:13">
      <c r="B3" s="263"/>
      <c r="C3" s="144" t="s">
        <v>4</v>
      </c>
      <c r="D3" s="147" t="s">
        <v>5</v>
      </c>
      <c r="E3" s="264"/>
      <c r="F3" s="265"/>
      <c r="G3" s="265"/>
      <c r="H3" s="265"/>
      <c r="I3" s="265"/>
      <c r="J3" s="265"/>
      <c r="K3" s="265"/>
      <c r="L3" s="265"/>
      <c r="M3" s="265"/>
    </row>
    <row r="4" spans="2:13">
      <c r="B4" s="263"/>
      <c r="C4" s="144" t="s">
        <v>6</v>
      </c>
      <c r="D4" s="148" t="s">
        <v>7</v>
      </c>
      <c r="E4" s="264"/>
      <c r="F4" s="265"/>
      <c r="G4" s="265"/>
      <c r="H4" s="265"/>
      <c r="I4" s="265"/>
      <c r="J4" s="265"/>
      <c r="K4" s="265"/>
      <c r="L4" s="265"/>
      <c r="M4" s="265"/>
    </row>
    <row r="5" spans="2:13">
      <c r="B5" s="263"/>
      <c r="C5" s="265"/>
      <c r="D5" s="265"/>
      <c r="E5" s="264"/>
      <c r="F5" s="265"/>
      <c r="G5" s="265"/>
      <c r="H5" s="265"/>
      <c r="I5" s="265"/>
      <c r="J5" s="265"/>
      <c r="K5" s="265"/>
      <c r="L5" s="265"/>
      <c r="M5" s="265"/>
    </row>
    <row r="6" spans="2:13">
      <c r="B6" s="149"/>
      <c r="C6" s="150" t="s">
        <v>8</v>
      </c>
      <c r="D6" s="150" t="s">
        <v>9</v>
      </c>
      <c r="E6" s="151" t="s">
        <v>10</v>
      </c>
      <c r="F6" s="151" t="s">
        <v>11</v>
      </c>
      <c r="G6" s="151" t="s">
        <v>12</v>
      </c>
      <c r="H6" s="151" t="s">
        <v>11</v>
      </c>
      <c r="I6" s="150" t="s">
        <v>13</v>
      </c>
      <c r="J6" s="152" t="s">
        <v>14</v>
      </c>
      <c r="K6" s="153" t="s">
        <v>15</v>
      </c>
      <c r="L6" s="220" t="s">
        <v>16</v>
      </c>
      <c r="M6" s="154" t="s">
        <v>17</v>
      </c>
    </row>
    <row r="7" spans="2:13">
      <c r="B7" s="155" t="s">
        <v>18</v>
      </c>
      <c r="C7" s="156"/>
      <c r="D7" s="156"/>
      <c r="E7" s="157"/>
      <c r="F7" s="156"/>
      <c r="G7" s="156"/>
      <c r="H7" s="156"/>
      <c r="I7" s="156"/>
      <c r="J7" s="158"/>
      <c r="K7" s="159"/>
      <c r="L7" s="159"/>
      <c r="M7" s="160"/>
    </row>
    <row r="8" spans="2:13" ht="18.75" customHeight="1">
      <c r="B8" s="259" t="s">
        <v>19</v>
      </c>
      <c r="C8" s="266" t="s">
        <v>20</v>
      </c>
      <c r="D8" s="260" t="s">
        <v>21</v>
      </c>
      <c r="E8" s="267">
        <f>M8/G8</f>
        <v>500000</v>
      </c>
      <c r="F8" s="268" t="s">
        <v>22</v>
      </c>
      <c r="G8" s="269">
        <v>2.5000000000000001E-2</v>
      </c>
      <c r="H8" s="266" t="s">
        <v>23</v>
      </c>
      <c r="I8" s="262" t="s">
        <v>24</v>
      </c>
      <c r="J8" s="270">
        <v>12500</v>
      </c>
      <c r="K8" s="163"/>
      <c r="L8" s="163"/>
      <c r="M8" s="271">
        <f t="shared" ref="M8:M13" si="0">SUM(J8:K8)</f>
        <v>12500</v>
      </c>
    </row>
    <row r="9" spans="2:13" ht="18.75" customHeight="1">
      <c r="B9" s="259"/>
      <c r="C9" s="266" t="s">
        <v>25</v>
      </c>
      <c r="D9" s="260"/>
      <c r="E9" s="267">
        <f>M9/G9</f>
        <v>2000</v>
      </c>
      <c r="F9" s="268" t="s">
        <v>26</v>
      </c>
      <c r="G9" s="269">
        <v>5</v>
      </c>
      <c r="H9" s="266" t="s">
        <v>27</v>
      </c>
      <c r="I9" s="262"/>
      <c r="J9" s="270">
        <v>10000</v>
      </c>
      <c r="K9" s="163"/>
      <c r="L9" s="163"/>
      <c r="M9" s="271">
        <f t="shared" si="0"/>
        <v>10000</v>
      </c>
    </row>
    <row r="10" spans="2:13" ht="18.75" customHeight="1">
      <c r="B10" s="261" t="s">
        <v>28</v>
      </c>
      <c r="C10" s="266" t="s">
        <v>20</v>
      </c>
      <c r="D10" s="260"/>
      <c r="E10" s="267">
        <f>M10/G10</f>
        <v>1000000</v>
      </c>
      <c r="F10" s="268" t="s">
        <v>22</v>
      </c>
      <c r="G10" s="269">
        <v>2.5000000000000001E-2</v>
      </c>
      <c r="H10" s="266" t="s">
        <v>23</v>
      </c>
      <c r="I10" s="262" t="s">
        <v>29</v>
      </c>
      <c r="J10" s="270">
        <v>25000</v>
      </c>
      <c r="K10" s="163"/>
      <c r="L10" s="163"/>
      <c r="M10" s="271">
        <f t="shared" si="0"/>
        <v>25000</v>
      </c>
    </row>
    <row r="11" spans="2:13" ht="18.75" customHeight="1">
      <c r="B11" s="261"/>
      <c r="C11" s="266" t="s">
        <v>25</v>
      </c>
      <c r="D11" s="260"/>
      <c r="E11" s="267">
        <f t="shared" ref="E11" si="1">M11/G11</f>
        <v>2000</v>
      </c>
      <c r="F11" s="268" t="s">
        <v>26</v>
      </c>
      <c r="G11" s="269">
        <v>5</v>
      </c>
      <c r="H11" s="266" t="s">
        <v>27</v>
      </c>
      <c r="I11" s="262"/>
      <c r="J11" s="270">
        <v>10000</v>
      </c>
      <c r="K11" s="163"/>
      <c r="L11" s="163"/>
      <c r="M11" s="271">
        <f t="shared" si="0"/>
        <v>10000</v>
      </c>
    </row>
    <row r="12" spans="2:13" ht="18.75" customHeight="1">
      <c r="B12" s="261" t="s">
        <v>30</v>
      </c>
      <c r="C12" s="266" t="s">
        <v>20</v>
      </c>
      <c r="D12" s="260"/>
      <c r="E12" s="267">
        <f>M12/G12</f>
        <v>1000000</v>
      </c>
      <c r="F12" s="268" t="s">
        <v>22</v>
      </c>
      <c r="G12" s="269">
        <v>2.5000000000000001E-2</v>
      </c>
      <c r="H12" s="266" t="s">
        <v>23</v>
      </c>
      <c r="I12" s="262" t="s">
        <v>31</v>
      </c>
      <c r="J12" s="270">
        <v>25000</v>
      </c>
      <c r="K12" s="163"/>
      <c r="L12" s="163"/>
      <c r="M12" s="271">
        <f t="shared" si="0"/>
        <v>25000</v>
      </c>
    </row>
    <row r="13" spans="2:13" ht="18.75" customHeight="1">
      <c r="B13" s="261"/>
      <c r="C13" s="266" t="s">
        <v>25</v>
      </c>
      <c r="D13" s="260"/>
      <c r="E13" s="267">
        <f t="shared" ref="E13" si="2">M13/G13</f>
        <v>2000</v>
      </c>
      <c r="F13" s="268" t="s">
        <v>26</v>
      </c>
      <c r="G13" s="269">
        <v>5</v>
      </c>
      <c r="H13" s="266" t="s">
        <v>27</v>
      </c>
      <c r="I13" s="262"/>
      <c r="J13" s="270">
        <v>10000</v>
      </c>
      <c r="K13" s="163"/>
      <c r="L13" s="163"/>
      <c r="M13" s="271">
        <f t="shared" si="0"/>
        <v>10000</v>
      </c>
    </row>
    <row r="14" spans="2:13">
      <c r="B14" s="164" t="s">
        <v>32</v>
      </c>
      <c r="C14" s="165"/>
      <c r="D14" s="165"/>
      <c r="E14" s="166"/>
      <c r="F14" s="165"/>
      <c r="G14" s="165"/>
      <c r="H14" s="165"/>
      <c r="I14" s="165"/>
      <c r="J14" s="167"/>
      <c r="K14" s="168"/>
      <c r="L14" s="168"/>
      <c r="M14" s="169"/>
    </row>
    <row r="15" spans="2:13" ht="81" customHeight="1">
      <c r="B15" s="170" t="s">
        <v>33</v>
      </c>
      <c r="C15" s="171" t="s">
        <v>34</v>
      </c>
      <c r="D15" s="141" t="s">
        <v>164</v>
      </c>
      <c r="E15" s="271">
        <f>M15/G15</f>
        <v>1500000</v>
      </c>
      <c r="F15" s="273" t="s">
        <v>36</v>
      </c>
      <c r="G15" s="273">
        <v>0.23</v>
      </c>
      <c r="H15" s="161" t="s">
        <v>37</v>
      </c>
      <c r="I15" s="161" t="s">
        <v>38</v>
      </c>
      <c r="J15" s="162">
        <v>190000</v>
      </c>
      <c r="K15" s="162">
        <v>155000</v>
      </c>
      <c r="L15" s="162"/>
      <c r="M15" s="271">
        <f>SUM(J15:K15)</f>
        <v>345000</v>
      </c>
    </row>
    <row r="16" spans="2:13" ht="120" customHeight="1">
      <c r="B16" s="172" t="s">
        <v>33</v>
      </c>
      <c r="C16" s="173" t="s">
        <v>39</v>
      </c>
      <c r="D16" s="118" t="s">
        <v>165</v>
      </c>
      <c r="E16" s="271">
        <f>M16/G16</f>
        <v>1500000</v>
      </c>
      <c r="F16" s="273" t="s">
        <v>36</v>
      </c>
      <c r="G16" s="273">
        <v>0.35</v>
      </c>
      <c r="H16" s="174" t="s">
        <v>37</v>
      </c>
      <c r="I16" s="161" t="s">
        <v>38</v>
      </c>
      <c r="J16" s="175">
        <v>280000</v>
      </c>
      <c r="K16" s="162">
        <v>245000</v>
      </c>
      <c r="L16" s="162"/>
      <c r="M16" s="271">
        <f>SUM(J16:K16)</f>
        <v>525000</v>
      </c>
    </row>
    <row r="17" spans="2:14" ht="16.5" customHeight="1">
      <c r="B17" s="176" t="s">
        <v>41</v>
      </c>
      <c r="C17" s="177"/>
      <c r="D17" s="178"/>
      <c r="E17" s="179"/>
      <c r="F17" s="178"/>
      <c r="G17" s="180"/>
      <c r="H17" s="178"/>
      <c r="I17" s="178"/>
      <c r="J17" s="178"/>
      <c r="K17" s="181"/>
      <c r="L17" s="181"/>
      <c r="M17" s="181"/>
    </row>
    <row r="18" spans="2:14" ht="80.25" customHeight="1">
      <c r="B18" s="217" t="s">
        <v>42</v>
      </c>
      <c r="C18" s="277" t="s">
        <v>43</v>
      </c>
      <c r="D18" s="218" t="s">
        <v>44</v>
      </c>
      <c r="E18" s="278">
        <f>M18/G18*1000</f>
        <v>12894736.842105264</v>
      </c>
      <c r="F18" s="279" t="s">
        <v>45</v>
      </c>
      <c r="G18" s="280">
        <v>38</v>
      </c>
      <c r="H18" s="281" t="s">
        <v>46</v>
      </c>
      <c r="I18" s="285" t="s">
        <v>47</v>
      </c>
      <c r="J18" s="282">
        <v>490000</v>
      </c>
      <c r="K18" s="276"/>
      <c r="L18" s="283"/>
      <c r="M18" s="222">
        <f t="shared" ref="M18:M23" si="3">SUM(J18:L18)</f>
        <v>490000</v>
      </c>
    </row>
    <row r="19" spans="2:14" ht="80.25" customHeight="1">
      <c r="B19" s="284" t="s">
        <v>42</v>
      </c>
      <c r="C19" s="227" t="s">
        <v>48</v>
      </c>
      <c r="D19" s="218" t="s">
        <v>44</v>
      </c>
      <c r="E19" s="278">
        <f>M19/G19*1000</f>
        <v>12894736.842105264</v>
      </c>
      <c r="F19" s="279" t="s">
        <v>45</v>
      </c>
      <c r="G19" s="280">
        <v>38</v>
      </c>
      <c r="H19" s="281" t="s">
        <v>46</v>
      </c>
      <c r="I19" s="341" t="s">
        <v>49</v>
      </c>
      <c r="J19" s="270"/>
      <c r="K19" s="342">
        <v>490000</v>
      </c>
      <c r="L19" s="270"/>
      <c r="M19" s="222">
        <f t="shared" si="3"/>
        <v>490000</v>
      </c>
    </row>
    <row r="20" spans="2:14" ht="67.5" customHeight="1">
      <c r="B20" s="228" t="s">
        <v>42</v>
      </c>
      <c r="C20" s="229" t="s">
        <v>50</v>
      </c>
      <c r="D20" s="218" t="s">
        <v>51</v>
      </c>
      <c r="E20" s="278">
        <f>M20/G20</f>
        <v>3500000</v>
      </c>
      <c r="F20" s="279" t="s">
        <v>36</v>
      </c>
      <c r="G20" s="280">
        <v>0.2</v>
      </c>
      <c r="H20" s="281" t="s">
        <v>37</v>
      </c>
      <c r="I20" s="341" t="s">
        <v>166</v>
      </c>
      <c r="J20" s="270"/>
      <c r="K20" s="242">
        <v>700000</v>
      </c>
      <c r="L20" s="230"/>
      <c r="M20" s="222">
        <f t="shared" si="3"/>
        <v>700000</v>
      </c>
      <c r="N20" s="221"/>
    </row>
    <row r="21" spans="2:14" ht="134.25" customHeight="1">
      <c r="B21" s="217" t="s">
        <v>53</v>
      </c>
      <c r="C21" s="285" t="s">
        <v>54</v>
      </c>
      <c r="D21" s="219" t="s">
        <v>55</v>
      </c>
      <c r="E21" s="278">
        <f t="shared" ref="E21:E22" si="4">M21/G21*1000</f>
        <v>3000000</v>
      </c>
      <c r="F21" s="279" t="s">
        <v>45</v>
      </c>
      <c r="G21" s="280">
        <v>90</v>
      </c>
      <c r="H21" s="281" t="s">
        <v>46</v>
      </c>
      <c r="I21" s="279" t="s">
        <v>47</v>
      </c>
      <c r="J21" s="286">
        <v>70000</v>
      </c>
      <c r="K21" s="343">
        <v>200000</v>
      </c>
      <c r="L21" s="288"/>
      <c r="M21" s="222">
        <f t="shared" si="3"/>
        <v>270000</v>
      </c>
    </row>
    <row r="22" spans="2:14" ht="58.5" customHeight="1">
      <c r="B22" s="237" t="s">
        <v>57</v>
      </c>
      <c r="C22" s="289" t="s">
        <v>58</v>
      </c>
      <c r="D22" s="223" t="s">
        <v>59</v>
      </c>
      <c r="E22" s="290">
        <f t="shared" si="4"/>
        <v>8089887.6404494382</v>
      </c>
      <c r="F22" s="291" t="s">
        <v>45</v>
      </c>
      <c r="G22" s="292">
        <v>44.5</v>
      </c>
      <c r="H22" s="293" t="s">
        <v>46</v>
      </c>
      <c r="I22" s="291" t="s">
        <v>47</v>
      </c>
      <c r="J22" s="294">
        <v>360000</v>
      </c>
      <c r="K22" s="276"/>
      <c r="L22" s="283"/>
      <c r="M22" s="222">
        <f>SUM(J22:L22)</f>
        <v>360000</v>
      </c>
    </row>
    <row r="23" spans="2:14" ht="60" customHeight="1">
      <c r="B23" s="236" t="s">
        <v>60</v>
      </c>
      <c r="C23" s="274" t="s">
        <v>61</v>
      </c>
      <c r="D23" s="241" t="s">
        <v>167</v>
      </c>
      <c r="E23" s="295">
        <f>M23/G23*1000</f>
        <v>10000000</v>
      </c>
      <c r="F23" s="281" t="s">
        <v>45</v>
      </c>
      <c r="G23" s="281">
        <v>45</v>
      </c>
      <c r="H23" s="281" t="s">
        <v>46</v>
      </c>
      <c r="I23" s="281" t="s">
        <v>63</v>
      </c>
      <c r="J23" s="281"/>
      <c r="K23" s="344">
        <v>450000</v>
      </c>
      <c r="L23" s="295"/>
      <c r="M23" s="222">
        <f>SUM(J23:L23)</f>
        <v>450000</v>
      </c>
    </row>
    <row r="24" spans="2:14" ht="18" customHeight="1">
      <c r="B24" s="226" t="s">
        <v>64</v>
      </c>
      <c r="C24" s="224"/>
      <c r="D24" s="225"/>
      <c r="E24" s="182"/>
      <c r="F24" s="183"/>
      <c r="G24" s="183"/>
      <c r="H24" s="183"/>
      <c r="I24" s="183"/>
      <c r="J24" s="183"/>
      <c r="K24" s="184"/>
      <c r="L24" s="184"/>
      <c r="M24" s="184"/>
    </row>
    <row r="25" spans="2:14" ht="87" customHeight="1">
      <c r="B25" s="296" t="s">
        <v>65</v>
      </c>
      <c r="C25" s="277" t="s">
        <v>43</v>
      </c>
      <c r="D25" s="297" t="s">
        <v>66</v>
      </c>
      <c r="E25" s="278">
        <f>M25/G25*1000</f>
        <v>12894736.842105264</v>
      </c>
      <c r="F25" s="279" t="s">
        <v>45</v>
      </c>
      <c r="G25" s="280">
        <v>38</v>
      </c>
      <c r="H25" s="281" t="s">
        <v>46</v>
      </c>
      <c r="I25" s="285" t="s">
        <v>47</v>
      </c>
      <c r="J25" s="286">
        <v>490000</v>
      </c>
      <c r="K25" s="270"/>
      <c r="L25" s="298"/>
      <c r="M25" s="299">
        <f t="shared" ref="M25" si="5">SUM(J25:K25)</f>
        <v>490000</v>
      </c>
    </row>
    <row r="26" spans="2:14" ht="87" customHeight="1">
      <c r="B26" s="231" t="s">
        <v>65</v>
      </c>
      <c r="C26" s="227" t="s">
        <v>48</v>
      </c>
      <c r="D26" s="218" t="s">
        <v>168</v>
      </c>
      <c r="E26" s="295">
        <f>M26/G26*1000</f>
        <v>12894736.842105264</v>
      </c>
      <c r="F26" s="281" t="s">
        <v>45</v>
      </c>
      <c r="G26" s="280">
        <v>38</v>
      </c>
      <c r="H26" s="281" t="s">
        <v>46</v>
      </c>
      <c r="I26" s="232" t="s">
        <v>63</v>
      </c>
      <c r="J26" s="286"/>
      <c r="K26" s="243">
        <v>490000</v>
      </c>
      <c r="L26" s="233"/>
      <c r="M26" s="299">
        <f>SUM(J26:L26)</f>
        <v>490000</v>
      </c>
    </row>
    <row r="27" spans="2:14" ht="87" customHeight="1">
      <c r="B27" s="231" t="s">
        <v>65</v>
      </c>
      <c r="C27" s="234" t="s">
        <v>50</v>
      </c>
      <c r="D27" s="219" t="s">
        <v>68</v>
      </c>
      <c r="E27" s="295">
        <f>M27/G27</f>
        <v>3500000</v>
      </c>
      <c r="F27" s="281" t="s">
        <v>36</v>
      </c>
      <c r="G27" s="280">
        <v>0.2</v>
      </c>
      <c r="H27" s="300" t="s">
        <v>37</v>
      </c>
      <c r="I27" s="232" t="s">
        <v>63</v>
      </c>
      <c r="J27" s="282"/>
      <c r="K27" s="244">
        <v>700000</v>
      </c>
      <c r="L27" s="235"/>
      <c r="M27" s="299">
        <f t="shared" ref="M27" si="6">SUM(J27:L27)</f>
        <v>700000</v>
      </c>
    </row>
    <row r="28" spans="2:14" ht="99" customHeight="1">
      <c r="B28" s="301" t="s">
        <v>69</v>
      </c>
      <c r="C28" s="285" t="s">
        <v>54</v>
      </c>
      <c r="D28" s="219" t="s">
        <v>169</v>
      </c>
      <c r="E28" s="278">
        <f t="shared" ref="E28:E29" si="7">M28/G28*1000</f>
        <v>3000000</v>
      </c>
      <c r="F28" s="279" t="s">
        <v>45</v>
      </c>
      <c r="G28" s="280">
        <v>90</v>
      </c>
      <c r="H28" s="281" t="s">
        <v>46</v>
      </c>
      <c r="I28" s="279" t="s">
        <v>47</v>
      </c>
      <c r="J28" s="302">
        <v>70000</v>
      </c>
      <c r="K28" s="342">
        <v>200000</v>
      </c>
      <c r="L28" s="298"/>
      <c r="M28" s="299">
        <f>SUM(J28:L28)</f>
        <v>270000</v>
      </c>
    </row>
    <row r="29" spans="2:14" ht="59.25" customHeight="1">
      <c r="B29" s="301" t="s">
        <v>71</v>
      </c>
      <c r="C29" s="285" t="s">
        <v>58</v>
      </c>
      <c r="D29" s="303" t="s">
        <v>72</v>
      </c>
      <c r="E29" s="290">
        <f t="shared" si="7"/>
        <v>8089887.6404494382</v>
      </c>
      <c r="F29" s="279" t="s">
        <v>45</v>
      </c>
      <c r="G29" s="292">
        <v>44.5</v>
      </c>
      <c r="H29" s="293" t="s">
        <v>46</v>
      </c>
      <c r="I29" s="291" t="s">
        <v>47</v>
      </c>
      <c r="J29" s="304">
        <v>360000</v>
      </c>
      <c r="K29" s="276"/>
      <c r="L29" s="283"/>
      <c r="M29" s="299">
        <f>SUM(J29:L29)</f>
        <v>360000</v>
      </c>
    </row>
    <row r="30" spans="2:14" ht="59.25" customHeight="1">
      <c r="B30" s="238" t="s">
        <v>60</v>
      </c>
      <c r="C30" s="274" t="s">
        <v>61</v>
      </c>
      <c r="D30" s="240" t="s">
        <v>167</v>
      </c>
      <c r="E30" s="295">
        <f>M30/G30*1000</f>
        <v>10000000</v>
      </c>
      <c r="F30" s="279" t="s">
        <v>45</v>
      </c>
      <c r="G30" s="266">
        <v>45</v>
      </c>
      <c r="H30" s="281" t="s">
        <v>46</v>
      </c>
      <c r="I30" s="232" t="s">
        <v>63</v>
      </c>
      <c r="J30" s="270"/>
      <c r="K30" s="342">
        <v>450000</v>
      </c>
      <c r="L30" s="270"/>
      <c r="M30" s="299">
        <f>SUM(J30:L30)</f>
        <v>450000</v>
      </c>
    </row>
    <row r="31" spans="2:14">
      <c r="B31" s="185" t="s">
        <v>73</v>
      </c>
      <c r="C31" s="186"/>
      <c r="D31" s="187"/>
      <c r="E31" s="188"/>
      <c r="F31" s="187"/>
      <c r="G31" s="187"/>
      <c r="H31" s="187"/>
      <c r="I31" s="187"/>
      <c r="J31" s="189"/>
      <c r="K31" s="190"/>
      <c r="L31" s="190"/>
      <c r="M31" s="191"/>
    </row>
    <row r="32" spans="2:14" ht="16.5" customHeight="1">
      <c r="B32" s="305" t="s">
        <v>74</v>
      </c>
      <c r="C32" s="192" t="s">
        <v>75</v>
      </c>
      <c r="D32" s="139" t="s">
        <v>76</v>
      </c>
      <c r="E32" s="306" t="s">
        <v>77</v>
      </c>
      <c r="F32" s="307" t="s">
        <v>78</v>
      </c>
      <c r="G32" s="275"/>
      <c r="H32" s="275"/>
      <c r="I32" s="254" t="s">
        <v>14</v>
      </c>
      <c r="J32" s="308">
        <v>61425</v>
      </c>
      <c r="K32" s="309"/>
      <c r="L32" s="309"/>
      <c r="M32" s="310">
        <f t="shared" ref="M32:M49" si="8">SUM(J32:K32)</f>
        <v>61425</v>
      </c>
    </row>
    <row r="33" spans="2:13" ht="16.5" customHeight="1">
      <c r="B33" s="311"/>
      <c r="C33" s="193" t="s">
        <v>79</v>
      </c>
      <c r="D33" s="138"/>
      <c r="E33" s="312"/>
      <c r="F33" s="313"/>
      <c r="G33" s="314"/>
      <c r="H33" s="314"/>
      <c r="I33" s="255"/>
      <c r="J33" s="290">
        <v>60000</v>
      </c>
      <c r="K33" s="282"/>
      <c r="L33" s="282"/>
      <c r="M33" s="315">
        <f t="shared" si="8"/>
        <v>60000</v>
      </c>
    </row>
    <row r="34" spans="2:13" ht="16.5" customHeight="1">
      <c r="B34" s="305" t="s">
        <v>80</v>
      </c>
      <c r="C34" s="192" t="s">
        <v>75</v>
      </c>
      <c r="D34" s="139" t="s">
        <v>81</v>
      </c>
      <c r="E34" s="306" t="s">
        <v>82</v>
      </c>
      <c r="F34" s="307" t="s">
        <v>78</v>
      </c>
      <c r="G34" s="275"/>
      <c r="H34" s="275"/>
      <c r="I34" s="256" t="s">
        <v>14</v>
      </c>
      <c r="J34" s="308">
        <v>77700</v>
      </c>
      <c r="K34" s="309"/>
      <c r="L34" s="309"/>
      <c r="M34" s="310">
        <f t="shared" si="8"/>
        <v>77700</v>
      </c>
    </row>
    <row r="35" spans="2:13" ht="16.5" customHeight="1">
      <c r="B35" s="311"/>
      <c r="C35" s="193" t="s">
        <v>79</v>
      </c>
      <c r="D35" s="138"/>
      <c r="E35" s="312"/>
      <c r="F35" s="313"/>
      <c r="G35" s="314"/>
      <c r="H35" s="314"/>
      <c r="I35" s="256"/>
      <c r="J35" s="290">
        <v>110000</v>
      </c>
      <c r="K35" s="282"/>
      <c r="L35" s="282"/>
      <c r="M35" s="315">
        <f t="shared" si="8"/>
        <v>110000</v>
      </c>
    </row>
    <row r="36" spans="2:13" ht="16.5" customHeight="1">
      <c r="B36" s="305" t="s">
        <v>83</v>
      </c>
      <c r="C36" s="192" t="s">
        <v>75</v>
      </c>
      <c r="D36" s="139" t="s">
        <v>84</v>
      </c>
      <c r="E36" s="306" t="s">
        <v>85</v>
      </c>
      <c r="F36" s="307" t="s">
        <v>78</v>
      </c>
      <c r="G36" s="275"/>
      <c r="H36" s="275"/>
      <c r="I36" s="254" t="s">
        <v>14</v>
      </c>
      <c r="J36" s="308">
        <v>36750</v>
      </c>
      <c r="K36" s="309"/>
      <c r="L36" s="309"/>
      <c r="M36" s="310">
        <f t="shared" si="8"/>
        <v>36750</v>
      </c>
    </row>
    <row r="37" spans="2:13" ht="16.5" customHeight="1">
      <c r="B37" s="311"/>
      <c r="C37" s="193" t="s">
        <v>79</v>
      </c>
      <c r="D37" s="138"/>
      <c r="E37" s="312"/>
      <c r="F37" s="313"/>
      <c r="G37" s="314"/>
      <c r="H37" s="314"/>
      <c r="I37" s="256"/>
      <c r="J37" s="290">
        <v>25000</v>
      </c>
      <c r="K37" s="282"/>
      <c r="L37" s="282"/>
      <c r="M37" s="315">
        <f t="shared" si="8"/>
        <v>25000</v>
      </c>
    </row>
    <row r="38" spans="2:13" ht="16.5" customHeight="1">
      <c r="B38" s="305" t="s">
        <v>86</v>
      </c>
      <c r="C38" s="192" t="s">
        <v>75</v>
      </c>
      <c r="D38" s="139" t="s">
        <v>87</v>
      </c>
      <c r="E38" s="306" t="s">
        <v>77</v>
      </c>
      <c r="F38" s="307" t="s">
        <v>78</v>
      </c>
      <c r="G38" s="275"/>
      <c r="H38" s="275"/>
      <c r="I38" s="254" t="s">
        <v>14</v>
      </c>
      <c r="J38" s="308">
        <v>38325</v>
      </c>
      <c r="K38" s="309"/>
      <c r="L38" s="309"/>
      <c r="M38" s="310">
        <f t="shared" si="8"/>
        <v>38325</v>
      </c>
    </row>
    <row r="39" spans="2:13" ht="16.5" customHeight="1">
      <c r="B39" s="311"/>
      <c r="C39" s="193" t="s">
        <v>79</v>
      </c>
      <c r="D39" s="138"/>
      <c r="E39" s="316"/>
      <c r="F39" s="317"/>
      <c r="G39" s="314"/>
      <c r="H39" s="314"/>
      <c r="I39" s="256"/>
      <c r="J39" s="290">
        <v>60000</v>
      </c>
      <c r="K39" s="282"/>
      <c r="L39" s="282"/>
      <c r="M39" s="315">
        <f t="shared" si="8"/>
        <v>60000</v>
      </c>
    </row>
    <row r="40" spans="2:13" ht="16.5" customHeight="1">
      <c r="B40" s="194" t="s">
        <v>88</v>
      </c>
      <c r="C40" s="192" t="s">
        <v>89</v>
      </c>
      <c r="D40" s="139" t="s">
        <v>90</v>
      </c>
      <c r="E40" s="306">
        <v>2000000</v>
      </c>
      <c r="F40" s="307" t="s">
        <v>22</v>
      </c>
      <c r="G40" s="275"/>
      <c r="H40" s="275"/>
      <c r="I40" s="254" t="s">
        <v>14</v>
      </c>
      <c r="J40" s="276">
        <v>54500</v>
      </c>
      <c r="K40" s="308"/>
      <c r="L40" s="309"/>
      <c r="M40" s="310">
        <f t="shared" si="8"/>
        <v>54500</v>
      </c>
    </row>
    <row r="41" spans="2:13" ht="16.5" customHeight="1">
      <c r="B41" s="195"/>
      <c r="C41" s="193" t="s">
        <v>79</v>
      </c>
      <c r="D41" s="138"/>
      <c r="E41" s="312"/>
      <c r="F41" s="313"/>
      <c r="G41" s="314"/>
      <c r="H41" s="314"/>
      <c r="I41" s="255"/>
      <c r="J41" s="318">
        <v>50000</v>
      </c>
      <c r="K41" s="290"/>
      <c r="L41" s="282"/>
      <c r="M41" s="315">
        <f t="shared" si="8"/>
        <v>50000</v>
      </c>
    </row>
    <row r="42" spans="2:13" ht="16.5" customHeight="1">
      <c r="B42" s="194" t="s">
        <v>91</v>
      </c>
      <c r="C42" s="192" t="s">
        <v>89</v>
      </c>
      <c r="D42" s="139" t="s">
        <v>92</v>
      </c>
      <c r="E42" s="319">
        <v>2000000</v>
      </c>
      <c r="F42" s="307" t="s">
        <v>22</v>
      </c>
      <c r="G42" s="275"/>
      <c r="H42" s="275"/>
      <c r="I42" s="256" t="s">
        <v>14</v>
      </c>
      <c r="J42" s="276">
        <v>74550</v>
      </c>
      <c r="K42" s="308"/>
      <c r="L42" s="309"/>
      <c r="M42" s="310">
        <f t="shared" si="8"/>
        <v>74550</v>
      </c>
    </row>
    <row r="43" spans="2:13" ht="16.5" customHeight="1">
      <c r="B43" s="195"/>
      <c r="C43" s="193" t="s">
        <v>79</v>
      </c>
      <c r="D43" s="138"/>
      <c r="E43" s="316"/>
      <c r="F43" s="313"/>
      <c r="G43" s="314"/>
      <c r="H43" s="314"/>
      <c r="I43" s="256"/>
      <c r="J43" s="318">
        <v>50000</v>
      </c>
      <c r="K43" s="290"/>
      <c r="L43" s="282"/>
      <c r="M43" s="315">
        <f t="shared" si="8"/>
        <v>50000</v>
      </c>
    </row>
    <row r="44" spans="2:13" ht="16.5" customHeight="1">
      <c r="B44" s="194" t="s">
        <v>93</v>
      </c>
      <c r="C44" s="192" t="s">
        <v>89</v>
      </c>
      <c r="D44" s="139" t="s">
        <v>94</v>
      </c>
      <c r="E44" s="306">
        <v>2000000</v>
      </c>
      <c r="F44" s="307" t="s">
        <v>22</v>
      </c>
      <c r="G44" s="275"/>
      <c r="H44" s="275"/>
      <c r="I44" s="254" t="s">
        <v>14</v>
      </c>
      <c r="J44" s="276">
        <v>73500</v>
      </c>
      <c r="K44" s="308"/>
      <c r="L44" s="309"/>
      <c r="M44" s="310">
        <f t="shared" si="8"/>
        <v>73500</v>
      </c>
    </row>
    <row r="45" spans="2:13" ht="16.5" customHeight="1">
      <c r="B45" s="195"/>
      <c r="C45" s="193" t="s">
        <v>79</v>
      </c>
      <c r="D45" s="138"/>
      <c r="E45" s="316"/>
      <c r="F45" s="313"/>
      <c r="G45" s="314"/>
      <c r="H45" s="314"/>
      <c r="I45" s="256"/>
      <c r="J45" s="318">
        <v>50000</v>
      </c>
      <c r="K45" s="290"/>
      <c r="L45" s="282"/>
      <c r="M45" s="315">
        <f t="shared" si="8"/>
        <v>50000</v>
      </c>
    </row>
    <row r="46" spans="2:13" ht="16.5" customHeight="1">
      <c r="B46" s="194" t="s">
        <v>95</v>
      </c>
      <c r="C46" s="192" t="s">
        <v>89</v>
      </c>
      <c r="D46" s="139" t="s">
        <v>96</v>
      </c>
      <c r="E46" s="306">
        <v>2000000</v>
      </c>
      <c r="F46" s="307" t="s">
        <v>22</v>
      </c>
      <c r="G46" s="275"/>
      <c r="H46" s="275"/>
      <c r="I46" s="254" t="s">
        <v>14</v>
      </c>
      <c r="J46" s="276">
        <v>91750</v>
      </c>
      <c r="K46" s="308"/>
      <c r="L46" s="309"/>
      <c r="M46" s="310">
        <f t="shared" si="8"/>
        <v>91750</v>
      </c>
    </row>
    <row r="47" spans="2:13" ht="16.5" customHeight="1">
      <c r="B47" s="311"/>
      <c r="C47" s="193" t="s">
        <v>79</v>
      </c>
      <c r="D47" s="138"/>
      <c r="E47" s="316"/>
      <c r="F47" s="317"/>
      <c r="G47" s="314"/>
      <c r="H47" s="314"/>
      <c r="I47" s="256"/>
      <c r="J47" s="318">
        <v>50000</v>
      </c>
      <c r="K47" s="290"/>
      <c r="L47" s="282"/>
      <c r="M47" s="315">
        <f t="shared" si="8"/>
        <v>50000</v>
      </c>
    </row>
    <row r="48" spans="2:13" ht="16.5" customHeight="1">
      <c r="B48" s="194" t="s">
        <v>97</v>
      </c>
      <c r="C48" s="192" t="s">
        <v>89</v>
      </c>
      <c r="D48" s="139" t="s">
        <v>98</v>
      </c>
      <c r="E48" s="306">
        <v>2000000</v>
      </c>
      <c r="F48" s="320" t="s">
        <v>22</v>
      </c>
      <c r="G48" s="321"/>
      <c r="H48" s="321"/>
      <c r="I48" s="257" t="s">
        <v>14</v>
      </c>
      <c r="J48" s="276">
        <v>99500</v>
      </c>
      <c r="K48" s="308"/>
      <c r="L48" s="309"/>
      <c r="M48" s="310">
        <f t="shared" si="8"/>
        <v>99500</v>
      </c>
    </row>
    <row r="49" spans="2:14" ht="16.5" customHeight="1">
      <c r="B49" s="322"/>
      <c r="C49" s="196" t="s">
        <v>79</v>
      </c>
      <c r="D49" s="140"/>
      <c r="E49" s="312"/>
      <c r="F49" s="323"/>
      <c r="G49" s="324"/>
      <c r="H49" s="324"/>
      <c r="I49" s="258"/>
      <c r="J49" s="287">
        <v>50000</v>
      </c>
      <c r="K49" s="278"/>
      <c r="L49" s="286"/>
      <c r="M49" s="325">
        <f t="shared" si="8"/>
        <v>50000</v>
      </c>
    </row>
    <row r="50" spans="2:14" ht="18.75" customHeight="1">
      <c r="B50" s="326" t="s">
        <v>99</v>
      </c>
      <c r="C50" s="197"/>
      <c r="D50" s="142"/>
      <c r="E50" s="327"/>
      <c r="F50" s="328"/>
      <c r="G50" s="328"/>
      <c r="H50" s="328"/>
      <c r="I50" s="198"/>
      <c r="J50" s="329">
        <f>SUM(J8:J30)</f>
        <v>2402500</v>
      </c>
      <c r="K50" s="329">
        <f>SUM(K8:K30)</f>
        <v>4080000</v>
      </c>
      <c r="L50" s="329">
        <f>SUM(L8:L30)</f>
        <v>0</v>
      </c>
      <c r="M50" s="330">
        <f>SUM(J50:L50)</f>
        <v>6482500</v>
      </c>
      <c r="N50" s="94">
        <f>SUM(M8:M30)</f>
        <v>6482500</v>
      </c>
    </row>
    <row r="51" spans="2:14" ht="18.75" customHeight="1">
      <c r="B51" s="331" t="s">
        <v>100</v>
      </c>
      <c r="C51" s="197"/>
      <c r="D51" s="142"/>
      <c r="E51" s="332">
        <v>0.12</v>
      </c>
      <c r="F51" s="328"/>
      <c r="G51" s="328"/>
      <c r="H51" s="328"/>
      <c r="I51" s="198"/>
      <c r="J51" s="329">
        <f>J50*12%</f>
        <v>288300</v>
      </c>
      <c r="K51" s="329">
        <f>K50*12%</f>
        <v>489600</v>
      </c>
      <c r="L51" s="329">
        <f>L50*12%</f>
        <v>0</v>
      </c>
      <c r="M51" s="330">
        <f>SUM(J51:L51)</f>
        <v>777900</v>
      </c>
      <c r="N51" s="94">
        <f>N50*12%</f>
        <v>777900</v>
      </c>
    </row>
    <row r="52" spans="2:14" ht="18.75" customHeight="1">
      <c r="B52" s="199" t="s">
        <v>101</v>
      </c>
      <c r="C52" s="200"/>
      <c r="D52" s="143"/>
      <c r="E52" s="201"/>
      <c r="F52" s="202"/>
      <c r="G52" s="202"/>
      <c r="H52" s="202"/>
      <c r="I52" s="203"/>
      <c r="J52" s="204">
        <f>SUM(J50:J51)</f>
        <v>2690800</v>
      </c>
      <c r="K52" s="204">
        <f>SUM(K50:K51)</f>
        <v>4569600</v>
      </c>
      <c r="L52" s="204">
        <f>SUM(L50:L51)</f>
        <v>0</v>
      </c>
      <c r="M52" s="239">
        <f>SUM(J52:L52)</f>
        <v>7260400</v>
      </c>
      <c r="N52" s="94">
        <f>SUM(N50:N51)</f>
        <v>7260400</v>
      </c>
    </row>
    <row r="53" spans="2:14">
      <c r="B53" s="333" t="s">
        <v>102</v>
      </c>
      <c r="C53" s="334"/>
      <c r="D53" s="335"/>
      <c r="E53" s="336"/>
      <c r="F53" s="335"/>
      <c r="G53" s="335"/>
      <c r="H53" s="335"/>
      <c r="I53" s="335"/>
      <c r="J53" s="329">
        <f>SUM(J32:J49)</f>
        <v>1113000</v>
      </c>
      <c r="K53" s="329">
        <f>SUM(K32:K49)</f>
        <v>0</v>
      </c>
      <c r="L53" s="329">
        <f>SUM(L32:L49)</f>
        <v>0</v>
      </c>
      <c r="M53" s="337">
        <f>SUM(M32:M49)</f>
        <v>1113000</v>
      </c>
    </row>
    <row r="54" spans="2:14">
      <c r="B54" s="331" t="s">
        <v>100</v>
      </c>
      <c r="C54" s="338"/>
      <c r="D54" s="335"/>
      <c r="E54" s="332">
        <v>0.12</v>
      </c>
      <c r="F54" s="339"/>
      <c r="G54" s="339"/>
      <c r="H54" s="339"/>
      <c r="I54" s="335"/>
      <c r="J54" s="329">
        <f>J53*E54</f>
        <v>133560</v>
      </c>
      <c r="K54" s="329">
        <f>K53*E54</f>
        <v>0</v>
      </c>
      <c r="L54" s="329">
        <f>L53*F54</f>
        <v>0</v>
      </c>
      <c r="M54" s="337">
        <f>SUM(J54:K54)</f>
        <v>133560</v>
      </c>
    </row>
    <row r="55" spans="2:14">
      <c r="B55" s="340" t="s">
        <v>103</v>
      </c>
      <c r="C55" s="205"/>
      <c r="D55" s="206"/>
      <c r="E55" s="332">
        <v>0.18</v>
      </c>
      <c r="F55" s="207"/>
      <c r="G55" s="207"/>
      <c r="H55" s="207"/>
      <c r="I55" s="206"/>
      <c r="J55" s="329">
        <f>SUM(J32,J34,J36,J38,J40,J42,J44,J46,J48)*E55</f>
        <v>109440</v>
      </c>
      <c r="K55" s="329">
        <f>SUM(K32,K34,K36,K38,K40,K42,K44,K46,K48)*E55</f>
        <v>0</v>
      </c>
      <c r="L55" s="329">
        <f>SUM(L32,L34,L36,L38,L40,L42,L44,L46,L48)*F55</f>
        <v>0</v>
      </c>
      <c r="M55" s="337">
        <f>SUM(M32,M34,M36,M38,M40,M42,M44,M46,M48)*E55</f>
        <v>109440</v>
      </c>
    </row>
    <row r="56" spans="2:14">
      <c r="B56" s="208" t="s">
        <v>104</v>
      </c>
      <c r="C56" s="209"/>
      <c r="D56" s="210"/>
      <c r="E56" s="211"/>
      <c r="F56" s="210"/>
      <c r="G56" s="210"/>
      <c r="H56" s="210"/>
      <c r="I56" s="210"/>
      <c r="J56" s="204">
        <f>SUM(J53:J55)</f>
        <v>1356000</v>
      </c>
      <c r="K56" s="204">
        <f>SUM(K53:K55)</f>
        <v>0</v>
      </c>
      <c r="L56" s="204">
        <f>SUM(L53:L55)</f>
        <v>0</v>
      </c>
      <c r="M56" s="212">
        <f>SUM(M53:M55)</f>
        <v>1356000</v>
      </c>
    </row>
    <row r="57" spans="2:14">
      <c r="B57" s="213" t="s">
        <v>105</v>
      </c>
      <c r="C57" s="214"/>
      <c r="D57" s="215"/>
      <c r="E57" s="215"/>
      <c r="F57" s="215"/>
      <c r="G57" s="215"/>
      <c r="H57" s="215"/>
      <c r="I57" s="215"/>
      <c r="J57" s="216">
        <f>SUM(J52,J56)</f>
        <v>4046800</v>
      </c>
      <c r="K57" s="216">
        <f>SUM(K52,K56)</f>
        <v>4569600</v>
      </c>
      <c r="L57" s="216">
        <f>SUM(L52,L56)</f>
        <v>0</v>
      </c>
      <c r="M57" s="216">
        <f>SUM(M52,M56)</f>
        <v>8616400</v>
      </c>
      <c r="N57" s="94">
        <f>SUM(J57:L57)</f>
        <v>8616400</v>
      </c>
    </row>
    <row r="58" spans="2:14"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</row>
    <row r="59" spans="2:14"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</row>
    <row r="60" spans="2:14"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</row>
    <row r="61" spans="2:14"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</row>
  </sheetData>
  <mergeCells count="34">
    <mergeCell ref="E48:E49"/>
    <mergeCell ref="F48:F49"/>
    <mergeCell ref="I48:I49"/>
    <mergeCell ref="E44:E45"/>
    <mergeCell ref="F44:F45"/>
    <mergeCell ref="I44:I45"/>
    <mergeCell ref="E46:E47"/>
    <mergeCell ref="F46:F47"/>
    <mergeCell ref="I46:I47"/>
    <mergeCell ref="E40:E41"/>
    <mergeCell ref="F40:F41"/>
    <mergeCell ref="I40:I41"/>
    <mergeCell ref="E42:E43"/>
    <mergeCell ref="F42:F43"/>
    <mergeCell ref="I42:I43"/>
    <mergeCell ref="E36:E37"/>
    <mergeCell ref="F36:F37"/>
    <mergeCell ref="I36:I37"/>
    <mergeCell ref="E38:E39"/>
    <mergeCell ref="F38:F39"/>
    <mergeCell ref="I38:I39"/>
    <mergeCell ref="E32:E33"/>
    <mergeCell ref="F32:F33"/>
    <mergeCell ref="I32:I33"/>
    <mergeCell ref="E34:E35"/>
    <mergeCell ref="F34:F35"/>
    <mergeCell ref="I34:I35"/>
    <mergeCell ref="B8:B9"/>
    <mergeCell ref="D8:D13"/>
    <mergeCell ref="I8:I9"/>
    <mergeCell ref="B10:B11"/>
    <mergeCell ref="I10:I11"/>
    <mergeCell ref="B12:B13"/>
    <mergeCell ref="I12:I13"/>
  </mergeCells>
  <pageMargins left="0.25" right="0.25" top="0.75" bottom="0.75" header="0.3" footer="0.3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D90EBC700194682CA6994AA50CABA" ma:contentTypeVersion="19" ma:contentTypeDescription="Create a new document." ma:contentTypeScope="" ma:versionID="30247a011d50aa87bcf14fb72bbbf85c">
  <xsd:schema xmlns:xsd="http://www.w3.org/2001/XMLSchema" xmlns:xs="http://www.w3.org/2001/XMLSchema" xmlns:p="http://schemas.microsoft.com/office/2006/metadata/properties" xmlns:ns2="9c84eb4d-fa16-4635-817a-5c40920ef11d" xmlns:ns3="a7d77b58-dd0a-4212-ab56-baca9cb7a964" targetNamespace="http://schemas.microsoft.com/office/2006/metadata/properties" ma:root="true" ma:fieldsID="9391b590514365de496476d36d1487ff" ns2:_="" ns3:_="">
    <xsd:import namespace="9c84eb4d-fa16-4635-817a-5c40920ef11d"/>
    <xsd:import namespace="a7d77b58-dd0a-4212-ab56-baca9cb7a9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SendEmailtoPJib" minOccurs="0"/>
                <xsd:element ref="ns2:Remark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eb4d-fa16-4635-817a-5c40920ef1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endEmailtoPJib" ma:index="14" nillable="true" ma:displayName="Send Email to P'Jib" ma:default="0" ma:description="Yes, if this Master Plan document has been send to P'Jib via email." ma:format="Dropdown" ma:internalName="SendEmailtoPJib">
      <xsd:simpleType>
        <xsd:restriction base="dms:Boolean"/>
      </xsd:simpleType>
    </xsd:element>
    <xsd:element name="Remark" ma:index="15" nillable="true" ma:displayName="Remark" ma:format="Dropdown" ma:internalName="Remark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0f391b-0bd6-4e40-997c-ac2a611dd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77b58-dd0a-4212-ab56-baca9cb7a96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cb4aa21-6f2d-4274-878b-6408692ee51a}" ma:internalName="TaxCatchAll" ma:showField="CatchAllData" ma:web="a7d77b58-dd0a-4212-ab56-baca9cb7a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eb4d-fa16-4635-817a-5c40920ef11d">
      <Terms xmlns="http://schemas.microsoft.com/office/infopath/2007/PartnerControls"/>
    </lcf76f155ced4ddcb4097134ff3c332f>
    <Remark xmlns="9c84eb4d-fa16-4635-817a-5c40920ef11d" xsi:nil="true"/>
    <TaxCatchAll xmlns="a7d77b58-dd0a-4212-ab56-baca9cb7a964" xsi:nil="true"/>
    <SendEmailtoPJib xmlns="9c84eb4d-fa16-4635-817a-5c40920ef11d">false</SendEmailtoPJib>
  </documentManagement>
</p:properties>
</file>

<file path=customXml/itemProps1.xml><?xml version="1.0" encoding="utf-8"?>
<ds:datastoreItem xmlns:ds="http://schemas.openxmlformats.org/officeDocument/2006/customXml" ds:itemID="{67655C0A-27E1-43AF-9672-AB0E6EA77C71}"/>
</file>

<file path=customXml/itemProps2.xml><?xml version="1.0" encoding="utf-8"?>
<ds:datastoreItem xmlns:ds="http://schemas.openxmlformats.org/officeDocument/2006/customXml" ds:itemID="{D2EA13E1-FA3B-4862-992E-DB1DB1EE76D4}"/>
</file>

<file path=customXml/itemProps3.xml><?xml version="1.0" encoding="utf-8"?>
<ds:datastoreItem xmlns:ds="http://schemas.openxmlformats.org/officeDocument/2006/customXml" ds:itemID="{171EE971-1AB7-4310-A5F8-2CE3CE721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Sineeanan Suwannop (Pepper)</dc:creator>
  <cp:keywords/>
  <dc:description/>
  <cp:lastModifiedBy/>
  <cp:revision/>
  <dcterms:created xsi:type="dcterms:W3CDTF">2019-03-04T06:33:51Z</dcterms:created>
  <dcterms:modified xsi:type="dcterms:W3CDTF">2026-05-05T07:37:54Z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0x010100618D90EBC700194682CA6994AA50CABA</vt:lpwstr>
  </property>
  <property fmtid="{D5CDD505-2E9C-101B-9397-08002B2CF9AE}" pid="3" name="MediaServiceImageTags">
    <vt:lpwstr/>
  </property>
</Properties>
</file>